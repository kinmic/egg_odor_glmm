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quinn\Dropbox\Research\Alaska\assorted\egg odor studies\3. Iliamna egg and AA odor study\"/>
    </mc:Choice>
  </mc:AlternateContent>
  <xr:revisionPtr revIDLastSave="0" documentId="13_ncr:1_{2D257D69-39CA-4FDF-B4F4-C1DCD3DC8FEE}" xr6:coauthVersionLast="47" xr6:coauthVersionMax="47" xr10:uidLastSave="{00000000-0000-0000-0000-000000000000}"/>
  <bookViews>
    <workbookView xWindow="-120" yWindow="-120" windowWidth="29040" windowHeight="15720" activeTab="3" xr2:uid="{F5810D0C-201F-0F42-AA5D-920E0C6446DB}"/>
  </bookViews>
  <sheets>
    <sheet name="Results" sheetId="2" r:id="rId1"/>
    <sheet name="summary" sheetId="8" r:id="rId2"/>
    <sheet name="Sheet1" sheetId="10" r:id="rId3"/>
    <sheet name="PT site x year x treatment" sheetId="11" r:id="rId4"/>
    <sheet name="Results - simplified" sheetId="6" r:id="rId5"/>
    <sheet name="notes" sheetId="7" r:id="rId6"/>
  </sheets>
  <definedNames>
    <definedName name="_xlnm._FilterDatabase" localSheetId="4" hidden="1">'Results - simplified'!$A$1:$D$198</definedName>
  </definedNames>
  <calcPr calcId="191029"/>
  <pivotCaches>
    <pivotCache cacheId="0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6" l="1"/>
  <c r="C103" i="6"/>
  <c r="C102" i="6"/>
  <c r="C101" i="6"/>
  <c r="C100" i="6"/>
  <c r="C73" i="6"/>
  <c r="C72" i="6"/>
  <c r="C71" i="6"/>
  <c r="C70" i="6"/>
  <c r="C69" i="6"/>
  <c r="C45" i="6"/>
  <c r="C44" i="6"/>
  <c r="C43" i="6"/>
  <c r="C42" i="6"/>
  <c r="C41" i="6"/>
  <c r="C16" i="6"/>
  <c r="C15" i="6"/>
  <c r="C14" i="6"/>
  <c r="C13" i="6"/>
  <c r="C12" i="6"/>
  <c r="C99" i="6"/>
  <c r="C98" i="6"/>
  <c r="C97" i="6"/>
  <c r="C96" i="6"/>
  <c r="C95" i="6"/>
  <c r="C68" i="6"/>
  <c r="C67" i="6"/>
  <c r="C66" i="6"/>
  <c r="C65" i="6"/>
  <c r="C40" i="6"/>
  <c r="C39" i="6"/>
  <c r="C38" i="6"/>
  <c r="C37" i="6"/>
  <c r="C11" i="6"/>
  <c r="C10" i="6"/>
  <c r="C9" i="6"/>
  <c r="C8" i="6"/>
  <c r="C7" i="6"/>
  <c r="C94" i="6"/>
  <c r="C93" i="6"/>
  <c r="C92" i="6"/>
  <c r="C91" i="6"/>
  <c r="C90" i="6"/>
  <c r="C64" i="6"/>
  <c r="C63" i="6"/>
  <c r="C62" i="6"/>
  <c r="C61" i="6"/>
  <c r="C60" i="6"/>
  <c r="C36" i="6"/>
  <c r="C35" i="6"/>
  <c r="C34" i="6"/>
  <c r="C33" i="6"/>
  <c r="C32" i="6"/>
  <c r="C6" i="6"/>
  <c r="C5" i="6"/>
  <c r="C4" i="6"/>
  <c r="C3" i="6"/>
  <c r="C2" i="6"/>
  <c r="C300" i="6"/>
  <c r="C299" i="6"/>
  <c r="C298" i="6"/>
  <c r="C297" i="6"/>
  <c r="C296" i="6"/>
  <c r="C282" i="6"/>
  <c r="C281" i="6"/>
  <c r="C280" i="6"/>
  <c r="C279" i="6"/>
  <c r="C278" i="6"/>
  <c r="C262" i="6"/>
  <c r="C261" i="6"/>
  <c r="C260" i="6"/>
  <c r="C259" i="6"/>
  <c r="C258" i="6"/>
  <c r="C243" i="6"/>
  <c r="C242" i="6"/>
  <c r="C241" i="6"/>
  <c r="C240" i="6"/>
  <c r="C239" i="6"/>
  <c r="C223" i="6"/>
  <c r="C222" i="6"/>
  <c r="C221" i="6"/>
  <c r="C220" i="6"/>
  <c r="C219" i="6"/>
  <c r="C203" i="6"/>
  <c r="C202" i="6"/>
  <c r="C201" i="6"/>
  <c r="C200" i="6"/>
  <c r="C199" i="6"/>
  <c r="C198" i="6"/>
  <c r="C183" i="6"/>
  <c r="C182" i="6"/>
  <c r="C181" i="6"/>
  <c r="C180" i="6"/>
  <c r="C179" i="6"/>
  <c r="C163" i="6"/>
  <c r="C162" i="6"/>
  <c r="C161" i="6"/>
  <c r="C160" i="6"/>
  <c r="C159" i="6"/>
  <c r="C143" i="6"/>
  <c r="C142" i="6"/>
  <c r="C141" i="6"/>
  <c r="C140" i="6"/>
  <c r="C139" i="6"/>
  <c r="C123" i="6"/>
  <c r="C122" i="6"/>
  <c r="C121" i="6"/>
  <c r="C120" i="6"/>
  <c r="C119" i="6"/>
  <c r="C295" i="6"/>
  <c r="C294" i="6"/>
  <c r="C293" i="6"/>
  <c r="C277" i="6"/>
  <c r="C276" i="6"/>
  <c r="C275" i="6"/>
  <c r="C274" i="6"/>
  <c r="C273" i="6"/>
  <c r="C257" i="6"/>
  <c r="C256" i="6"/>
  <c r="C255" i="6"/>
  <c r="C254" i="6"/>
  <c r="C253" i="6"/>
  <c r="C238" i="6"/>
  <c r="C237" i="6"/>
  <c r="C236" i="6"/>
  <c r="C235" i="6"/>
  <c r="C234" i="6"/>
  <c r="C218" i="6"/>
  <c r="C217" i="6"/>
  <c r="C216" i="6"/>
  <c r="C215" i="6"/>
  <c r="C214" i="6"/>
  <c r="C197" i="6"/>
  <c r="C196" i="6"/>
  <c r="C195" i="6"/>
  <c r="C194" i="6"/>
  <c r="C178" i="6"/>
  <c r="C177" i="6"/>
  <c r="C176" i="6"/>
  <c r="C175" i="6"/>
  <c r="C174" i="6"/>
  <c r="C158" i="6"/>
  <c r="C157" i="6"/>
  <c r="C156" i="6"/>
  <c r="C155" i="6"/>
  <c r="C154" i="6"/>
  <c r="C138" i="6"/>
  <c r="C137" i="6"/>
  <c r="C136" i="6"/>
  <c r="C135" i="6"/>
  <c r="C134" i="6"/>
  <c r="C118" i="6"/>
  <c r="C117" i="6"/>
  <c r="C116" i="6"/>
  <c r="C115" i="6"/>
  <c r="C114" i="6"/>
  <c r="C292" i="6"/>
  <c r="C291" i="6"/>
  <c r="C290" i="6"/>
  <c r="C289" i="6"/>
  <c r="C288" i="6"/>
  <c r="C272" i="6"/>
  <c r="C271" i="6"/>
  <c r="C270" i="6"/>
  <c r="C269" i="6"/>
  <c r="C268" i="6"/>
  <c r="C252" i="6"/>
  <c r="C251" i="6"/>
  <c r="C250" i="6"/>
  <c r="C249" i="6"/>
  <c r="C233" i="6"/>
  <c r="C232" i="6"/>
  <c r="C231" i="6"/>
  <c r="C230" i="6"/>
  <c r="C229" i="6"/>
  <c r="C213" i="6"/>
  <c r="C212" i="6"/>
  <c r="C211" i="6"/>
  <c r="C210" i="6"/>
  <c r="C209" i="6"/>
  <c r="C193" i="6"/>
  <c r="C192" i="6"/>
  <c r="C191" i="6"/>
  <c r="C190" i="6"/>
  <c r="C189" i="6"/>
  <c r="C173" i="6"/>
  <c r="C172" i="6"/>
  <c r="C171" i="6"/>
  <c r="C170" i="6"/>
  <c r="C169" i="6"/>
  <c r="C153" i="6"/>
  <c r="C152" i="6"/>
  <c r="C151" i="6"/>
  <c r="C150" i="6"/>
  <c r="C149" i="6"/>
  <c r="C133" i="6"/>
  <c r="C132" i="6"/>
  <c r="C131" i="6"/>
  <c r="C130" i="6"/>
  <c r="C129" i="6"/>
  <c r="C113" i="6"/>
  <c r="C112" i="6"/>
  <c r="C111" i="6"/>
  <c r="C110" i="6"/>
  <c r="C109" i="6"/>
  <c r="C287" i="6"/>
  <c r="C286" i="6"/>
  <c r="C285" i="6"/>
  <c r="C284" i="6"/>
  <c r="C283" i="6"/>
  <c r="C267" i="6"/>
  <c r="C266" i="6"/>
  <c r="C265" i="6"/>
  <c r="C264" i="6"/>
  <c r="C263" i="6"/>
  <c r="C248" i="6"/>
  <c r="C247" i="6"/>
  <c r="C246" i="6"/>
  <c r="C245" i="6"/>
  <c r="C244" i="6"/>
  <c r="C228" i="6"/>
  <c r="C227" i="6"/>
  <c r="C226" i="6"/>
  <c r="C225" i="6"/>
  <c r="C224" i="6"/>
  <c r="C208" i="6"/>
  <c r="C207" i="6"/>
  <c r="C206" i="6"/>
  <c r="C205" i="6"/>
  <c r="C204" i="6"/>
  <c r="C188" i="6"/>
  <c r="C187" i="6"/>
  <c r="C186" i="6"/>
  <c r="C185" i="6"/>
  <c r="C184" i="6"/>
  <c r="C168" i="6"/>
  <c r="C167" i="6"/>
  <c r="C166" i="6"/>
  <c r="C165" i="6"/>
  <c r="C164" i="6"/>
  <c r="C148" i="6"/>
  <c r="C147" i="6"/>
  <c r="C146" i="6"/>
  <c r="C145" i="6"/>
  <c r="C144" i="6"/>
  <c r="C128" i="6"/>
  <c r="C127" i="6"/>
  <c r="C126" i="6"/>
  <c r="C125" i="6"/>
  <c r="C124" i="6"/>
  <c r="C108" i="6"/>
  <c r="C107" i="6"/>
  <c r="C106" i="6"/>
  <c r="C105" i="6"/>
  <c r="C104" i="6"/>
  <c r="C88" i="6"/>
  <c r="C87" i="6"/>
  <c r="C86" i="6"/>
  <c r="C85" i="6"/>
  <c r="C84" i="6"/>
  <c r="C59" i="6"/>
  <c r="C58" i="6"/>
  <c r="C57" i="6"/>
  <c r="C56" i="6"/>
  <c r="C55" i="6"/>
  <c r="C31" i="6"/>
  <c r="C30" i="6"/>
  <c r="C29" i="6"/>
  <c r="C28" i="6"/>
  <c r="C27" i="6"/>
  <c r="C83" i="6"/>
  <c r="C82" i="6"/>
  <c r="C81" i="6"/>
  <c r="C80" i="6"/>
  <c r="C79" i="6"/>
  <c r="C54" i="6"/>
  <c r="C53" i="6"/>
  <c r="C52" i="6"/>
  <c r="C51" i="6"/>
  <c r="C26" i="6"/>
  <c r="C25" i="6"/>
  <c r="C24" i="6"/>
  <c r="C23" i="6"/>
  <c r="C22" i="6"/>
  <c r="C78" i="6"/>
  <c r="C77" i="6"/>
  <c r="C76" i="6"/>
  <c r="C75" i="6"/>
  <c r="C74" i="6"/>
  <c r="C50" i="6"/>
  <c r="C49" i="6"/>
  <c r="C48" i="6"/>
  <c r="C47" i="6"/>
  <c r="C46" i="6"/>
  <c r="C21" i="6"/>
  <c r="C20" i="6"/>
  <c r="C19" i="6"/>
  <c r="C18" i="6"/>
  <c r="C17" i="6"/>
  <c r="R30" i="8"/>
  <c r="R29" i="8"/>
  <c r="R27" i="8"/>
  <c r="R26" i="8"/>
  <c r="R24" i="8"/>
  <c r="R21" i="8"/>
  <c r="R23" i="8"/>
  <c r="R20" i="8"/>
  <c r="O30" i="8"/>
  <c r="P30" i="8"/>
  <c r="Q30" i="8"/>
  <c r="N30" i="8"/>
  <c r="O29" i="8"/>
  <c r="P29" i="8"/>
  <c r="Q29" i="8"/>
  <c r="N29" i="8"/>
  <c r="O27" i="8"/>
  <c r="P27" i="8"/>
  <c r="Q27" i="8"/>
  <c r="N27" i="8"/>
  <c r="O26" i="8"/>
  <c r="P26" i="8"/>
  <c r="Q26" i="8"/>
  <c r="N26" i="8"/>
  <c r="O24" i="8"/>
  <c r="P24" i="8"/>
  <c r="Q24" i="8"/>
  <c r="N24" i="8"/>
  <c r="O23" i="8"/>
  <c r="P23" i="8"/>
  <c r="Q23" i="8"/>
  <c r="N23" i="8"/>
  <c r="P21" i="8"/>
  <c r="Q21" i="8"/>
  <c r="P20" i="8"/>
  <c r="Q20" i="8"/>
  <c r="N21" i="8"/>
  <c r="N20" i="8"/>
  <c r="F243" i="2" l="1"/>
  <c r="F281" i="2"/>
  <c r="F264" i="2"/>
  <c r="F244" i="2"/>
  <c r="F282" i="2"/>
  <c r="F265" i="2"/>
  <c r="F245" i="2"/>
  <c r="F283" i="2"/>
  <c r="F266" i="2"/>
  <c r="F246" i="2"/>
  <c r="F284" i="2"/>
  <c r="F267" i="2"/>
  <c r="F247" i="2"/>
  <c r="F285" i="2"/>
  <c r="F17" i="2"/>
  <c r="F2" i="2"/>
  <c r="F31" i="2"/>
  <c r="F18" i="2"/>
  <c r="F3" i="2"/>
  <c r="F32" i="2"/>
  <c r="F19" i="2"/>
  <c r="F4" i="2"/>
  <c r="F33" i="2"/>
  <c r="F20" i="2"/>
  <c r="F5" i="2"/>
  <c r="F34" i="2"/>
  <c r="F21" i="2"/>
  <c r="F6" i="2"/>
  <c r="F35" i="2"/>
  <c r="F248" i="2"/>
  <c r="F286" i="2"/>
  <c r="F268" i="2"/>
  <c r="F249" i="2"/>
  <c r="F287" i="2"/>
  <c r="F269" i="2"/>
  <c r="F250" i="2"/>
  <c r="F288" i="2"/>
  <c r="F270" i="2"/>
  <c r="F251" i="2"/>
  <c r="F289" i="2"/>
  <c r="F271" i="2"/>
  <c r="F252" i="2"/>
  <c r="F290" i="2"/>
  <c r="F7" i="2"/>
  <c r="F36" i="2"/>
  <c r="F22" i="2"/>
  <c r="F8" i="2"/>
  <c r="F37" i="2"/>
  <c r="F23" i="2"/>
  <c r="F9" i="2"/>
  <c r="F38" i="2"/>
  <c r="F24" i="2"/>
  <c r="F10" i="2"/>
  <c r="F39" i="2"/>
  <c r="F25" i="2"/>
  <c r="F11" i="2"/>
  <c r="F40" i="2"/>
  <c r="F253" i="2"/>
  <c r="F291" i="2"/>
  <c r="F272" i="2"/>
  <c r="F254" i="2"/>
  <c r="F292" i="2"/>
  <c r="F273" i="2"/>
  <c r="F255" i="2"/>
  <c r="F293" i="2"/>
  <c r="F274" i="2"/>
  <c r="F256" i="2"/>
  <c r="F294" i="2"/>
  <c r="F275" i="2"/>
  <c r="F257" i="2"/>
  <c r="F295" i="2"/>
  <c r="F26" i="2"/>
  <c r="F12" i="2"/>
  <c r="F41" i="2"/>
  <c r="F27" i="2"/>
  <c r="F13" i="2"/>
  <c r="F42" i="2"/>
  <c r="F28" i="2"/>
  <c r="F14" i="2"/>
  <c r="F43" i="2"/>
  <c r="F29" i="2"/>
  <c r="F15" i="2"/>
  <c r="F44" i="2"/>
  <c r="F30" i="2"/>
  <c r="F16" i="2"/>
  <c r="F45" i="2"/>
  <c r="F276" i="2"/>
  <c r="F258" i="2"/>
  <c r="F296" i="2"/>
  <c r="F277" i="2"/>
  <c r="F259" i="2"/>
  <c r="F297" i="2"/>
  <c r="F278" i="2"/>
  <c r="F260" i="2"/>
  <c r="F298" i="2"/>
  <c r="F279" i="2"/>
  <c r="F261" i="2"/>
  <c r="F299" i="2"/>
  <c r="F280" i="2"/>
  <c r="F262" i="2"/>
  <c r="F300" i="2"/>
  <c r="F263" i="2"/>
  <c r="R5" i="8"/>
  <c r="R6" i="8"/>
  <c r="R7" i="8"/>
  <c r="R8" i="8"/>
  <c r="R9" i="8"/>
  <c r="R10" i="8"/>
  <c r="R11" i="8"/>
  <c r="R12" i="8"/>
  <c r="R13" i="8"/>
  <c r="R14" i="8"/>
  <c r="R15" i="8"/>
  <c r="R4" i="8"/>
  <c r="O15" i="8"/>
  <c r="P15" i="8"/>
  <c r="Q15" i="8"/>
  <c r="N15" i="8"/>
  <c r="O14" i="8"/>
  <c r="P14" i="8"/>
  <c r="Q14" i="8"/>
  <c r="N14" i="8"/>
  <c r="O13" i="8"/>
  <c r="P13" i="8"/>
  <c r="Q13" i="8"/>
  <c r="N13" i="8"/>
  <c r="F46" i="2" l="1"/>
  <c r="F192" i="2"/>
  <c r="F47" i="2"/>
  <c r="F193" i="2"/>
  <c r="F145" i="2"/>
  <c r="F146" i="2"/>
  <c r="F147" i="2"/>
  <c r="F194" i="2"/>
  <c r="F97" i="2"/>
  <c r="F98" i="2"/>
  <c r="F99" i="2"/>
  <c r="F195" i="2"/>
  <c r="F196" i="2"/>
  <c r="F48" i="2"/>
  <c r="F148" i="2"/>
  <c r="F49" i="2"/>
  <c r="F50" i="2"/>
  <c r="F100" i="2"/>
  <c r="F149" i="2"/>
  <c r="F150" i="2"/>
  <c r="F51" i="2"/>
  <c r="F52" i="2"/>
  <c r="F101" i="2"/>
  <c r="F53" i="2"/>
  <c r="F102" i="2"/>
  <c r="F54" i="2"/>
  <c r="F55" i="2"/>
  <c r="F151" i="2"/>
  <c r="F152" i="2"/>
  <c r="F197" i="2"/>
  <c r="F198" i="2"/>
  <c r="F199" i="2"/>
  <c r="F103" i="2"/>
  <c r="F104" i="2"/>
  <c r="F200" i="2"/>
  <c r="F201" i="2"/>
  <c r="F153" i="2"/>
  <c r="F154" i="2"/>
  <c r="F105" i="2"/>
  <c r="F56" i="2"/>
  <c r="F155" i="2"/>
  <c r="F106" i="2"/>
  <c r="F202" i="2"/>
  <c r="F203" i="2"/>
  <c r="F156" i="2"/>
  <c r="F107" i="2"/>
  <c r="F204" i="2"/>
  <c r="F205" i="2"/>
  <c r="F157" i="2"/>
  <c r="F57" i="2"/>
  <c r="F58" i="2"/>
  <c r="F158" i="2"/>
  <c r="F159" i="2"/>
  <c r="F59" i="2"/>
  <c r="F108" i="2"/>
  <c r="F109" i="2"/>
  <c r="F110" i="2"/>
  <c r="F206" i="2"/>
  <c r="F60" i="2"/>
  <c r="F160" i="2"/>
  <c r="F111" i="2"/>
  <c r="F161" i="2"/>
  <c r="F112" i="2"/>
  <c r="F61" i="2"/>
  <c r="F113" i="2"/>
  <c r="F162" i="2"/>
  <c r="F114" i="2"/>
  <c r="F207" i="2"/>
  <c r="F208" i="2"/>
  <c r="F209" i="2"/>
  <c r="F62" i="2"/>
  <c r="F115" i="2"/>
  <c r="F163" i="2"/>
  <c r="F164" i="2"/>
  <c r="F63" i="2"/>
  <c r="F210" i="2"/>
  <c r="F64" i="2"/>
  <c r="F65" i="2"/>
  <c r="F211" i="2"/>
  <c r="F66" i="2"/>
  <c r="F165" i="2"/>
  <c r="F116" i="2"/>
  <c r="F117" i="2"/>
  <c r="F212" i="2"/>
  <c r="F213" i="2"/>
  <c r="F118" i="2"/>
  <c r="F166" i="2"/>
  <c r="F214" i="2"/>
  <c r="F167" i="2"/>
  <c r="F67" i="2"/>
  <c r="F215" i="2"/>
  <c r="F216" i="2"/>
  <c r="F168" i="2"/>
  <c r="F119" i="2"/>
  <c r="F68" i="2"/>
  <c r="F69" i="2"/>
  <c r="F217" i="2"/>
  <c r="F70" i="2"/>
  <c r="F120" i="2"/>
  <c r="F121" i="2"/>
  <c r="F169" i="2"/>
  <c r="F218" i="2"/>
  <c r="F122" i="2"/>
  <c r="F123" i="2"/>
  <c r="F219" i="2"/>
  <c r="F71" i="2"/>
  <c r="F124" i="2"/>
  <c r="F220" i="2"/>
  <c r="F72" i="2"/>
  <c r="F73" i="2"/>
  <c r="F74" i="2"/>
  <c r="F125" i="2"/>
  <c r="F170" i="2"/>
  <c r="F221" i="2"/>
  <c r="F171" i="2"/>
  <c r="F172" i="2"/>
  <c r="F222" i="2"/>
  <c r="F75" i="2"/>
  <c r="F173" i="2"/>
  <c r="F174" i="2"/>
  <c r="F126" i="2"/>
  <c r="F76" i="2"/>
  <c r="F223" i="2"/>
  <c r="F224" i="2"/>
  <c r="F175" i="2"/>
  <c r="F77" i="2"/>
  <c r="F127" i="2"/>
  <c r="F176" i="2"/>
  <c r="F78" i="2"/>
  <c r="F225" i="2"/>
  <c r="F128" i="2"/>
  <c r="F79" i="2"/>
  <c r="F129" i="2"/>
  <c r="F177" i="2"/>
  <c r="F226" i="2"/>
  <c r="F178" i="2"/>
  <c r="F227" i="2"/>
  <c r="F80" i="2"/>
  <c r="F130" i="2"/>
  <c r="F131" i="2"/>
  <c r="F179" i="2"/>
  <c r="F81" i="2"/>
  <c r="F180" i="2"/>
  <c r="F82" i="2"/>
  <c r="F83" i="2"/>
  <c r="F132" i="2"/>
  <c r="F228" i="2"/>
  <c r="F229" i="2"/>
  <c r="F230" i="2"/>
  <c r="F181" i="2"/>
  <c r="F84" i="2"/>
  <c r="F133" i="2"/>
  <c r="F85" i="2"/>
  <c r="F231" i="2"/>
  <c r="F134" i="2"/>
  <c r="F182" i="2"/>
  <c r="F183" i="2"/>
  <c r="F232" i="2"/>
  <c r="F86" i="2"/>
  <c r="F184" i="2"/>
  <c r="F233" i="2"/>
  <c r="F87" i="2"/>
  <c r="F185" i="2"/>
  <c r="F186" i="2"/>
  <c r="F135" i="2"/>
  <c r="F187" i="2"/>
  <c r="F136" i="2"/>
  <c r="F137" i="2"/>
  <c r="F188" i="2"/>
  <c r="F234" i="2"/>
  <c r="F235" i="2"/>
  <c r="F88" i="2"/>
  <c r="F138" i="2"/>
  <c r="F236" i="2"/>
  <c r="F237" i="2"/>
  <c r="F89" i="2"/>
  <c r="F90" i="2"/>
  <c r="F139" i="2"/>
  <c r="F91" i="2"/>
  <c r="F140" i="2"/>
  <c r="F189" i="2"/>
  <c r="F238" i="2"/>
  <c r="F141" i="2"/>
  <c r="F92" i="2"/>
  <c r="F142" i="2"/>
  <c r="F190" i="2"/>
  <c r="F93" i="2"/>
  <c r="F143" i="2"/>
  <c r="F144" i="2"/>
  <c r="F94" i="2"/>
  <c r="F239" i="2"/>
  <c r="F240" i="2"/>
  <c r="F241" i="2"/>
  <c r="F95" i="2"/>
  <c r="F242" i="2"/>
  <c r="F191" i="2"/>
  <c r="F9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tc={9E64C020-7990-430B-92B7-AEA4E777E795}</author>
  </authors>
  <commentList>
    <comment ref="K1" authorId="0" shapeId="0" xr:uid="{9E64C020-7990-430B-92B7-AEA4E777E795}">
      <text>
        <t>[Threaded comment]
Your version of Excel allows you to read this threaded comment; however, any edits to it will get removed if the file is opened in a newer version of Excel. Learn more: https://go.microsoft.com/fwlink/?linkid=870924
Comment:
    C, A, J, 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tc={031BF0CE-D601-48CF-94B0-FA376DC812BB}</author>
  </authors>
  <commentList>
    <comment ref="E1" authorId="0" shapeId="0" xr:uid="{031BF0CE-D601-48CF-94B0-FA376DC812BB}">
      <text>
        <t>[Threaded comment]
Your version of Excel allows you to read this threaded comment; however, any edits to it will get removed if the file is opened in a newer version of Excel. Learn more: https://go.microsoft.com/fwlink/?linkid=870924
Comment:
    C, A, J, E</t>
      </text>
    </comment>
  </commentList>
</comments>
</file>

<file path=xl/sharedStrings.xml><?xml version="1.0" encoding="utf-8"?>
<sst xmlns="http://schemas.openxmlformats.org/spreadsheetml/2006/main" count="1763" uniqueCount="71">
  <si>
    <t>trap.no</t>
  </si>
  <si>
    <t>treatment</t>
  </si>
  <si>
    <t>sculpin</t>
  </si>
  <si>
    <t>3-spine</t>
  </si>
  <si>
    <t>9-spine</t>
  </si>
  <si>
    <t>charr</t>
  </si>
  <si>
    <t>notes</t>
  </si>
  <si>
    <t>E</t>
  </si>
  <si>
    <t>J</t>
  </si>
  <si>
    <t>C</t>
  </si>
  <si>
    <t>A</t>
  </si>
  <si>
    <t>recovery.time</t>
  </si>
  <si>
    <t>time.of.deployment</t>
  </si>
  <si>
    <t>sampling.event</t>
  </si>
  <si>
    <t>date.deploy</t>
  </si>
  <si>
    <t>date.recovered</t>
  </si>
  <si>
    <t>weather.in</t>
  </si>
  <si>
    <t>weather.out</t>
  </si>
  <si>
    <t>calm</t>
  </si>
  <si>
    <t>windy E20</t>
  </si>
  <si>
    <t>wind 12E</t>
  </si>
  <si>
    <t>clip open on retrevial</t>
  </si>
  <si>
    <t>2W</t>
  </si>
  <si>
    <t>3SW</t>
  </si>
  <si>
    <t>rainbow trout</t>
  </si>
  <si>
    <t>sockeye tangled in bouy line; windy at traps 1-3 17SW</t>
  </si>
  <si>
    <t>windy at traps 1-3 17SW</t>
  </si>
  <si>
    <t>Overall weather was strong SW wind but beach was comparitively calm (3SW), recovery time estimated</t>
  </si>
  <si>
    <t>2E</t>
  </si>
  <si>
    <t>opened on recovery</t>
  </si>
  <si>
    <t>saved before and after amino and egg juice</t>
  </si>
  <si>
    <t>Row Labels</t>
  </si>
  <si>
    <t>Grand Total</t>
  </si>
  <si>
    <t>Column Labels</t>
  </si>
  <si>
    <t>Sum of 3-spine</t>
  </si>
  <si>
    <t>Sum of sculpin</t>
  </si>
  <si>
    <t>?</t>
  </si>
  <si>
    <t>egg juice only soaked ~1 hr before deployment</t>
  </si>
  <si>
    <t>Location</t>
  </si>
  <si>
    <t>year</t>
  </si>
  <si>
    <t>DOY</t>
  </si>
  <si>
    <t>rainbow about 175mm</t>
  </si>
  <si>
    <t>Trapped opened on retrieve</t>
  </si>
  <si>
    <t>The simplified results deleted the ED trials (n = 2)</t>
  </si>
  <si>
    <t>Deleted the 3 trials (two E and one C) when the trap opened prior to retrieval and no catch data were reported</t>
  </si>
  <si>
    <t>Retain the trials (n = 3, all C) listed as opening during retrieval but data were recorded and in two of them fish were caught (0-0, 4-0, 1-0)</t>
  </si>
  <si>
    <t>Total Sum of sculpin</t>
  </si>
  <si>
    <t>Total Sum of 3-spine</t>
  </si>
  <si>
    <t>Total Count of date.deploy</t>
  </si>
  <si>
    <t>Count of date.deploy</t>
  </si>
  <si>
    <t>deployments</t>
  </si>
  <si>
    <t>sculpins</t>
  </si>
  <si>
    <t>3-spines</t>
  </si>
  <si>
    <t>total</t>
  </si>
  <si>
    <t>Total</t>
  </si>
  <si>
    <t>3-spine stickleback</t>
  </si>
  <si>
    <t>catch per trap</t>
  </si>
  <si>
    <t>2025 notes</t>
  </si>
  <si>
    <t>1 jumbo sculpin</t>
  </si>
  <si>
    <t>Fuel Dump</t>
  </si>
  <si>
    <t>Woody</t>
  </si>
  <si>
    <t>Count of treatment</t>
  </si>
  <si>
    <t>Average of sculpin</t>
  </si>
  <si>
    <t>Total Average of sculpin</t>
  </si>
  <si>
    <t>Total Average of 3-spine</t>
  </si>
  <si>
    <t>Average of 3-spine</t>
  </si>
  <si>
    <t>Amino acid</t>
  </si>
  <si>
    <t>Conrtrol</t>
  </si>
  <si>
    <t>Eggs</t>
  </si>
  <si>
    <t>Juice</t>
  </si>
  <si>
    <t>CPUE sculpin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</si>
</sst>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165" fontId="0" fillId="0" borderId="0" xfId="0" applyNumberFormat="1"/>
  </cellXfs>
  <cellStyles count="1">
    <cellStyle name="Normal" xfId="0" builtinId="0"/>
  </cellStyles>
  <dxfs count="1"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resa M Fish" id="{5356E333-335E-4E85-A872-4FF7BAE5133A}" userId="Teresa M Fish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quinn" refreshedDate="46135.450191550925" createdVersion="8" refreshedVersion="8" minRefreshableVersion="3" recordCount="198" xr:uid="{26503771-AAF2-42F6-AE9A-7CE35FEF1AED}">
  <cacheSource type="worksheet">
    <worksheetSource ref="A1:C1048576" sheet="Results - simplified"/>
  </cacheSource>
  <cacheFields count="7">
    <cacheField name="year" numFmtId="0">
      <sharedItems containsString="0" containsBlank="1" containsNumber="1" containsInteger="1" minValue="2020" maxValue="2025" count="3">
        <n v="2020"/>
        <n v="2025"/>
        <m/>
      </sharedItems>
    </cacheField>
    <cacheField name="date.deploy" numFmtId="0">
      <sharedItems containsNonDate="0" containsDate="1" containsString="0" containsBlank="1" minDate="2020-08-04T00:00:00" maxDate="2025-08-21T00:00:00"/>
    </cacheField>
    <cacheField name="DOY" numFmtId="0">
      <sharedItems containsString="0" containsBlank="1" containsNumber="1" containsInteger="1" minValue="217" maxValue="232"/>
    </cacheField>
    <cacheField name="trap.no" numFmtId="0">
      <sharedItems containsString="0" containsBlank="1" containsNumber="1" containsInteger="1" minValue="1" maxValue="21"/>
    </cacheField>
    <cacheField name="treatment" numFmtId="0">
      <sharedItems containsBlank="1" count="5">
        <s v="C"/>
        <s v="A"/>
        <s v="J"/>
        <s v="E"/>
        <m/>
      </sharedItems>
    </cacheField>
    <cacheField name="sculpin" numFmtId="0">
      <sharedItems containsString="0" containsBlank="1" containsNumber="1" containsInteger="1" minValue="0" maxValue="142"/>
    </cacheField>
    <cacheField name="3-spine" numFmtId="0">
      <sharedItems containsString="0" containsBlank="1" containsNumber="1" containsInteger="1" minValue="0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quinn" refreshedDate="46205.503446296294" createdVersion="8" refreshedVersion="8" minRefreshableVersion="3" recordCount="300" xr:uid="{78A36098-A5C0-4E19-A6E9-869030BE1A1E}">
  <cacheSource type="worksheet">
    <worksheetSource ref="A1:E1048576" sheet="Results - simplified"/>
  </cacheSource>
  <cacheFields count="5">
    <cacheField name="year" numFmtId="0">
      <sharedItems containsString="0" containsBlank="1" containsNumber="1" containsInteger="1" minValue="2015" maxValue="2025" count="4">
        <n v="2015"/>
        <n v="2020"/>
        <n v="2025"/>
        <m/>
      </sharedItems>
    </cacheField>
    <cacheField name="date.deploy" numFmtId="0">
      <sharedItems containsNonDate="0" containsDate="1" containsString="0" containsBlank="1" minDate="2015-08-03T00:00:00" maxDate="2025-08-21T00:00:00"/>
    </cacheField>
    <cacheField name="DOY" numFmtId="0">
      <sharedItems containsString="0" containsBlank="1" containsNumber="1" containsInteger="1" minValue="215" maxValue="232"/>
    </cacheField>
    <cacheField name="trap.no" numFmtId="0">
      <sharedItems containsString="0" containsBlank="1" containsNumber="1" containsInteger="1" minValue="1" maxValue="21"/>
    </cacheField>
    <cacheField name="treatment" numFmtId="0">
      <sharedItems containsBlank="1" count="5">
        <s v="A"/>
        <s v="C"/>
        <s v="E"/>
        <s v="J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quinn" refreshedDate="46205.646183333331" createdVersion="8" refreshedVersion="8" minRefreshableVersion="3" recordCount="300" xr:uid="{F19EB52D-3E40-4E2F-90C8-A2F913277605}">
  <cacheSource type="worksheet">
    <worksheetSource ref="A1:K1048576" sheet="Results - simplified"/>
  </cacheSource>
  <cacheFields count="11">
    <cacheField name="year" numFmtId="0">
      <sharedItems containsString="0" containsBlank="1" containsNumber="1" containsInteger="1" minValue="2015" maxValue="2025" count="4">
        <n v="2015"/>
        <n v="2020"/>
        <n v="2025"/>
        <m/>
      </sharedItems>
    </cacheField>
    <cacheField name="date.deploy" numFmtId="0">
      <sharedItems containsNonDate="0" containsDate="1" containsString="0" containsBlank="1" minDate="2015-08-03T00:00:00" maxDate="2025-08-21T00:00:00"/>
    </cacheField>
    <cacheField name="DOY" numFmtId="0">
      <sharedItems containsString="0" containsBlank="1" containsNumber="1" containsInteger="1" minValue="215" maxValue="232"/>
    </cacheField>
    <cacheField name="trap.no" numFmtId="0">
      <sharedItems containsString="0" containsBlank="1" containsNumber="1" containsInteger="1" minValue="1" maxValue="21"/>
    </cacheField>
    <cacheField name="treatment" numFmtId="0">
      <sharedItems containsBlank="1" count="5">
        <s v="A"/>
        <s v="C"/>
        <s v="E"/>
        <s v="J"/>
        <m/>
      </sharedItems>
    </cacheField>
    <cacheField name="sculpin" numFmtId="0">
      <sharedItems containsString="0" containsBlank="1" containsNumber="1" containsInteger="1" minValue="0" maxValue="142"/>
    </cacheField>
    <cacheField name="3-spine" numFmtId="0">
      <sharedItems containsString="0" containsBlank="1" containsNumber="1" containsInteger="1" minValue="0" maxValue="52"/>
    </cacheField>
    <cacheField name="9-spine" numFmtId="0">
      <sharedItems containsString="0" containsBlank="1" containsNumber="1" containsInteger="1" minValue="0" maxValue="1"/>
    </cacheField>
    <cacheField name="charr" numFmtId="0">
      <sharedItems containsString="0" containsBlank="1" containsNumber="1" containsInteger="1" minValue="0" maxValue="1"/>
    </cacheField>
    <cacheField name="rainbow trout" numFmtId="0">
      <sharedItems containsString="0" containsBlank="1" containsNumber="1" containsInteger="1" minValue="0" maxValue="1"/>
    </cacheField>
    <cacheField name="Location" numFmtId="0">
      <sharedItems containsBlank="1" count="3">
        <s v="Woody"/>
        <s v="Fuel Dump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x v="0"/>
    <d v="2020-08-04T00:00:00"/>
    <n v="217"/>
    <n v="1"/>
    <x v="0"/>
    <n v="2"/>
    <n v="10"/>
  </r>
  <r>
    <x v="0"/>
    <d v="2020-08-04T00:00:00"/>
    <n v="217"/>
    <n v="2"/>
    <x v="1"/>
    <n v="1"/>
    <n v="16"/>
  </r>
  <r>
    <x v="0"/>
    <d v="2020-08-04T00:00:00"/>
    <n v="217"/>
    <n v="3"/>
    <x v="2"/>
    <n v="6"/>
    <n v="9"/>
  </r>
  <r>
    <x v="0"/>
    <d v="2020-08-04T00:00:00"/>
    <n v="217"/>
    <n v="4"/>
    <x v="1"/>
    <n v="3"/>
    <n v="1"/>
  </r>
  <r>
    <x v="0"/>
    <d v="2020-08-04T00:00:00"/>
    <n v="217"/>
    <n v="5"/>
    <x v="2"/>
    <n v="2"/>
    <n v="1"/>
  </r>
  <r>
    <x v="0"/>
    <d v="2020-08-04T00:00:00"/>
    <n v="217"/>
    <n v="6"/>
    <x v="3"/>
    <n v="73"/>
    <n v="43"/>
  </r>
  <r>
    <x v="0"/>
    <d v="2020-08-04T00:00:00"/>
    <n v="217"/>
    <n v="7"/>
    <x v="3"/>
    <n v="69"/>
    <n v="8"/>
  </r>
  <r>
    <x v="0"/>
    <d v="2020-08-04T00:00:00"/>
    <n v="217"/>
    <n v="8"/>
    <x v="3"/>
    <n v="9"/>
    <n v="25"/>
  </r>
  <r>
    <x v="0"/>
    <d v="2020-08-04T00:00:00"/>
    <n v="217"/>
    <n v="9"/>
    <x v="2"/>
    <n v="3"/>
    <n v="8"/>
  </r>
  <r>
    <x v="0"/>
    <d v="2020-08-04T00:00:00"/>
    <n v="217"/>
    <n v="10"/>
    <x v="0"/>
    <n v="0"/>
    <n v="8"/>
  </r>
  <r>
    <x v="0"/>
    <d v="2020-08-04T00:00:00"/>
    <n v="217"/>
    <n v="11"/>
    <x v="0"/>
    <n v="0"/>
    <n v="0"/>
  </r>
  <r>
    <x v="0"/>
    <d v="2020-08-04T00:00:00"/>
    <n v="217"/>
    <n v="12"/>
    <x v="0"/>
    <n v="1"/>
    <n v="3"/>
  </r>
  <r>
    <x v="0"/>
    <d v="2020-08-04T00:00:00"/>
    <n v="217"/>
    <n v="13"/>
    <x v="2"/>
    <n v="0"/>
    <n v="2"/>
  </r>
  <r>
    <x v="0"/>
    <d v="2020-08-04T00:00:00"/>
    <n v="217"/>
    <n v="14"/>
    <x v="2"/>
    <n v="9"/>
    <n v="2"/>
  </r>
  <r>
    <x v="0"/>
    <d v="2020-08-04T00:00:00"/>
    <n v="217"/>
    <n v="15"/>
    <x v="1"/>
    <n v="1"/>
    <n v="10"/>
  </r>
  <r>
    <x v="0"/>
    <d v="2020-08-04T00:00:00"/>
    <n v="217"/>
    <n v="16"/>
    <x v="3"/>
    <n v="42"/>
    <n v="8"/>
  </r>
  <r>
    <x v="0"/>
    <d v="2020-08-04T00:00:00"/>
    <n v="217"/>
    <n v="17"/>
    <x v="1"/>
    <n v="4"/>
    <n v="8"/>
  </r>
  <r>
    <x v="0"/>
    <d v="2020-08-04T00:00:00"/>
    <n v="217"/>
    <n v="18"/>
    <x v="1"/>
    <n v="2"/>
    <n v="13"/>
  </r>
  <r>
    <x v="0"/>
    <d v="2020-08-04T00:00:00"/>
    <n v="217"/>
    <n v="19"/>
    <x v="0"/>
    <n v="0"/>
    <n v="1"/>
  </r>
  <r>
    <x v="0"/>
    <d v="2020-08-04T00:00:00"/>
    <n v="217"/>
    <n v="20"/>
    <x v="3"/>
    <n v="142"/>
    <n v="17"/>
  </r>
  <r>
    <x v="0"/>
    <d v="2020-08-05T00:00:00"/>
    <n v="218"/>
    <n v="20"/>
    <x v="3"/>
    <n v="5"/>
    <n v="2"/>
  </r>
  <r>
    <x v="0"/>
    <d v="2020-08-05T00:00:00"/>
    <n v="218"/>
    <n v="19"/>
    <x v="1"/>
    <n v="1"/>
    <n v="0"/>
  </r>
  <r>
    <x v="0"/>
    <d v="2020-08-05T00:00:00"/>
    <n v="218"/>
    <n v="18"/>
    <x v="1"/>
    <n v="0"/>
    <n v="0"/>
  </r>
  <r>
    <x v="0"/>
    <d v="2020-08-05T00:00:00"/>
    <n v="218"/>
    <n v="17"/>
    <x v="0"/>
    <n v="0"/>
    <n v="0"/>
  </r>
  <r>
    <x v="0"/>
    <d v="2020-08-05T00:00:00"/>
    <n v="218"/>
    <n v="16"/>
    <x v="1"/>
    <n v="0"/>
    <n v="0"/>
  </r>
  <r>
    <x v="0"/>
    <d v="2020-08-05T00:00:00"/>
    <n v="218"/>
    <n v="15"/>
    <x v="0"/>
    <n v="0"/>
    <n v="0"/>
  </r>
  <r>
    <x v="0"/>
    <d v="2020-08-05T00:00:00"/>
    <n v="218"/>
    <n v="14"/>
    <x v="1"/>
    <n v="0"/>
    <n v="0"/>
  </r>
  <r>
    <x v="0"/>
    <d v="2020-08-05T00:00:00"/>
    <n v="218"/>
    <n v="13"/>
    <x v="1"/>
    <n v="0"/>
    <n v="0"/>
  </r>
  <r>
    <x v="0"/>
    <d v="2020-08-05T00:00:00"/>
    <n v="218"/>
    <n v="12"/>
    <x v="3"/>
    <n v="15"/>
    <n v="0"/>
  </r>
  <r>
    <x v="0"/>
    <d v="2020-08-05T00:00:00"/>
    <n v="218"/>
    <n v="11"/>
    <x v="3"/>
    <n v="52"/>
    <n v="0"/>
  </r>
  <r>
    <x v="0"/>
    <d v="2020-08-05T00:00:00"/>
    <n v="218"/>
    <n v="10"/>
    <x v="2"/>
    <n v="3"/>
    <n v="2"/>
  </r>
  <r>
    <x v="0"/>
    <d v="2020-08-05T00:00:00"/>
    <n v="218"/>
    <n v="9"/>
    <x v="2"/>
    <n v="0"/>
    <n v="0"/>
  </r>
  <r>
    <x v="0"/>
    <d v="2020-08-05T00:00:00"/>
    <n v="218"/>
    <n v="8"/>
    <x v="2"/>
    <n v="0"/>
    <n v="0"/>
  </r>
  <r>
    <x v="0"/>
    <d v="2020-08-05T00:00:00"/>
    <n v="218"/>
    <n v="7"/>
    <x v="0"/>
    <n v="0"/>
    <n v="1"/>
  </r>
  <r>
    <x v="0"/>
    <d v="2020-08-05T00:00:00"/>
    <n v="218"/>
    <n v="6"/>
    <x v="0"/>
    <n v="0"/>
    <n v="0"/>
  </r>
  <r>
    <x v="0"/>
    <d v="2020-08-05T00:00:00"/>
    <n v="218"/>
    <n v="5"/>
    <x v="2"/>
    <n v="4"/>
    <n v="0"/>
  </r>
  <r>
    <x v="0"/>
    <d v="2020-08-05T00:00:00"/>
    <n v="218"/>
    <n v="4"/>
    <x v="2"/>
    <n v="0"/>
    <n v="0"/>
  </r>
  <r>
    <x v="0"/>
    <d v="2020-08-05T00:00:00"/>
    <n v="218"/>
    <n v="3"/>
    <x v="3"/>
    <n v="37"/>
    <n v="0"/>
  </r>
  <r>
    <x v="0"/>
    <d v="2020-08-05T00:00:00"/>
    <n v="218"/>
    <n v="2"/>
    <x v="3"/>
    <n v="58"/>
    <n v="5"/>
  </r>
  <r>
    <x v="0"/>
    <d v="2020-08-05T00:00:00"/>
    <n v="218"/>
    <n v="1"/>
    <x v="0"/>
    <n v="1"/>
    <n v="0"/>
  </r>
  <r>
    <x v="0"/>
    <d v="2020-08-06T00:00:00"/>
    <n v="219"/>
    <n v="20"/>
    <x v="1"/>
    <n v="7"/>
    <n v="1"/>
  </r>
  <r>
    <x v="0"/>
    <d v="2020-08-06T00:00:00"/>
    <n v="219"/>
    <n v="19"/>
    <x v="3"/>
    <n v="8"/>
    <n v="18"/>
  </r>
  <r>
    <x v="0"/>
    <d v="2020-08-06T00:00:00"/>
    <n v="219"/>
    <n v="18"/>
    <x v="0"/>
    <n v="1"/>
    <n v="1"/>
  </r>
  <r>
    <x v="0"/>
    <d v="2020-08-06T00:00:00"/>
    <n v="219"/>
    <n v="17"/>
    <x v="2"/>
    <n v="6"/>
    <n v="0"/>
  </r>
  <r>
    <x v="0"/>
    <d v="2020-08-06T00:00:00"/>
    <n v="219"/>
    <n v="16"/>
    <x v="2"/>
    <n v="6"/>
    <n v="1"/>
  </r>
  <r>
    <x v="0"/>
    <d v="2020-08-06T00:00:00"/>
    <n v="219"/>
    <n v="15"/>
    <x v="3"/>
    <n v="30"/>
    <n v="10"/>
  </r>
  <r>
    <x v="0"/>
    <d v="2020-08-06T00:00:00"/>
    <n v="219"/>
    <n v="14"/>
    <x v="0"/>
    <n v="0"/>
    <n v="1"/>
  </r>
  <r>
    <x v="0"/>
    <d v="2020-08-06T00:00:00"/>
    <n v="219"/>
    <n v="13"/>
    <x v="2"/>
    <n v="5"/>
    <n v="2"/>
  </r>
  <r>
    <x v="0"/>
    <d v="2020-08-06T00:00:00"/>
    <n v="219"/>
    <n v="12"/>
    <x v="2"/>
    <n v="1"/>
    <n v="4"/>
  </r>
  <r>
    <x v="0"/>
    <d v="2020-08-06T00:00:00"/>
    <n v="219"/>
    <n v="11"/>
    <x v="3"/>
    <n v="105"/>
    <n v="3"/>
  </r>
  <r>
    <x v="0"/>
    <d v="2020-08-06T00:00:00"/>
    <n v="219"/>
    <n v="10"/>
    <x v="1"/>
    <n v="6"/>
    <n v="3"/>
  </r>
  <r>
    <x v="0"/>
    <d v="2020-08-06T00:00:00"/>
    <n v="219"/>
    <n v="9"/>
    <x v="1"/>
    <n v="1"/>
    <n v="2"/>
  </r>
  <r>
    <x v="0"/>
    <d v="2020-08-06T00:00:00"/>
    <n v="219"/>
    <n v="8"/>
    <x v="3"/>
    <n v="28"/>
    <n v="3"/>
  </r>
  <r>
    <x v="0"/>
    <d v="2020-08-06T00:00:00"/>
    <n v="219"/>
    <n v="7"/>
    <x v="3"/>
    <n v="14"/>
    <n v="27"/>
  </r>
  <r>
    <x v="0"/>
    <d v="2020-08-06T00:00:00"/>
    <n v="219"/>
    <n v="6"/>
    <x v="1"/>
    <n v="8"/>
    <n v="6"/>
  </r>
  <r>
    <x v="0"/>
    <d v="2020-08-06T00:00:00"/>
    <n v="219"/>
    <n v="5"/>
    <x v="0"/>
    <n v="1"/>
    <n v="1"/>
  </r>
  <r>
    <x v="0"/>
    <d v="2020-08-06T00:00:00"/>
    <n v="219"/>
    <n v="4"/>
    <x v="0"/>
    <n v="4"/>
    <n v="0"/>
  </r>
  <r>
    <x v="0"/>
    <d v="2020-08-06T00:00:00"/>
    <n v="219"/>
    <n v="3"/>
    <x v="0"/>
    <n v="3"/>
    <n v="2"/>
  </r>
  <r>
    <x v="0"/>
    <d v="2020-08-06T00:00:00"/>
    <n v="219"/>
    <n v="2"/>
    <x v="2"/>
    <n v="7"/>
    <n v="7"/>
  </r>
  <r>
    <x v="0"/>
    <d v="2020-08-06T00:00:00"/>
    <n v="219"/>
    <n v="1"/>
    <x v="1"/>
    <n v="3"/>
    <n v="3"/>
  </r>
  <r>
    <x v="0"/>
    <d v="2020-08-07T00:00:00"/>
    <n v="220"/>
    <n v="20"/>
    <x v="3"/>
    <n v="20"/>
    <n v="0"/>
  </r>
  <r>
    <x v="0"/>
    <d v="2020-08-07T00:00:00"/>
    <n v="220"/>
    <n v="19"/>
    <x v="0"/>
    <n v="2"/>
    <n v="0"/>
  </r>
  <r>
    <x v="0"/>
    <d v="2020-08-07T00:00:00"/>
    <n v="220"/>
    <n v="18"/>
    <x v="3"/>
    <n v="0"/>
    <n v="0"/>
  </r>
  <r>
    <x v="0"/>
    <d v="2020-08-07T00:00:00"/>
    <n v="220"/>
    <n v="17"/>
    <x v="0"/>
    <n v="3"/>
    <n v="1"/>
  </r>
  <r>
    <x v="0"/>
    <d v="2020-08-07T00:00:00"/>
    <n v="220"/>
    <n v="16"/>
    <x v="1"/>
    <n v="10"/>
    <n v="0"/>
  </r>
  <r>
    <x v="0"/>
    <d v="2020-08-07T00:00:00"/>
    <n v="220"/>
    <n v="15"/>
    <x v="0"/>
    <n v="1"/>
    <n v="0"/>
  </r>
  <r>
    <x v="0"/>
    <d v="2020-08-07T00:00:00"/>
    <n v="220"/>
    <n v="14"/>
    <x v="3"/>
    <n v="9"/>
    <n v="1"/>
  </r>
  <r>
    <x v="0"/>
    <d v="2020-08-07T00:00:00"/>
    <n v="220"/>
    <n v="13"/>
    <x v="0"/>
    <n v="1"/>
    <n v="5"/>
  </r>
  <r>
    <x v="0"/>
    <d v="2020-08-07T00:00:00"/>
    <n v="220"/>
    <n v="12"/>
    <x v="2"/>
    <n v="9"/>
    <n v="2"/>
  </r>
  <r>
    <x v="0"/>
    <d v="2020-08-07T00:00:00"/>
    <n v="220"/>
    <n v="11"/>
    <x v="2"/>
    <n v="36"/>
    <n v="6"/>
  </r>
  <r>
    <x v="0"/>
    <d v="2020-08-07T00:00:00"/>
    <n v="220"/>
    <n v="10"/>
    <x v="2"/>
    <n v="12"/>
    <n v="6"/>
  </r>
  <r>
    <x v="0"/>
    <d v="2020-08-07T00:00:00"/>
    <n v="220"/>
    <n v="9"/>
    <x v="1"/>
    <n v="12"/>
    <n v="1"/>
  </r>
  <r>
    <x v="0"/>
    <d v="2020-08-07T00:00:00"/>
    <n v="220"/>
    <n v="8"/>
    <x v="0"/>
    <n v="3"/>
    <n v="2"/>
  </r>
  <r>
    <x v="0"/>
    <d v="2020-08-07T00:00:00"/>
    <n v="220"/>
    <n v="7"/>
    <x v="3"/>
    <n v="7"/>
    <n v="1"/>
  </r>
  <r>
    <x v="0"/>
    <d v="2020-08-07T00:00:00"/>
    <n v="220"/>
    <n v="6"/>
    <x v="3"/>
    <n v="11"/>
    <n v="0"/>
  </r>
  <r>
    <x v="0"/>
    <d v="2020-08-07T00:00:00"/>
    <n v="220"/>
    <n v="5"/>
    <x v="1"/>
    <n v="8"/>
    <n v="1"/>
  </r>
  <r>
    <x v="0"/>
    <d v="2020-08-07T00:00:00"/>
    <n v="220"/>
    <n v="4"/>
    <x v="2"/>
    <n v="6"/>
    <n v="8"/>
  </r>
  <r>
    <x v="0"/>
    <d v="2020-08-07T00:00:00"/>
    <n v="220"/>
    <n v="3"/>
    <x v="1"/>
    <n v="4"/>
    <n v="0"/>
  </r>
  <r>
    <x v="0"/>
    <d v="2020-08-07T00:00:00"/>
    <n v="220"/>
    <n v="2"/>
    <x v="1"/>
    <n v="6"/>
    <n v="3"/>
  </r>
  <r>
    <x v="0"/>
    <d v="2020-08-07T00:00:00"/>
    <n v="220"/>
    <n v="1"/>
    <x v="2"/>
    <n v="1"/>
    <n v="3"/>
  </r>
  <r>
    <x v="0"/>
    <d v="2020-08-08T00:00:00"/>
    <n v="221"/>
    <n v="20"/>
    <x v="1"/>
    <n v="10"/>
    <n v="1"/>
  </r>
  <r>
    <x v="0"/>
    <d v="2020-08-08T00:00:00"/>
    <n v="221"/>
    <n v="19"/>
    <x v="3"/>
    <n v="86"/>
    <n v="4"/>
  </r>
  <r>
    <x v="0"/>
    <d v="2020-08-08T00:00:00"/>
    <n v="221"/>
    <n v="18"/>
    <x v="0"/>
    <n v="5"/>
    <n v="0"/>
  </r>
  <r>
    <x v="0"/>
    <d v="2020-08-08T00:00:00"/>
    <n v="221"/>
    <n v="17"/>
    <x v="0"/>
    <n v="1"/>
    <n v="22"/>
  </r>
  <r>
    <x v="0"/>
    <d v="2020-08-08T00:00:00"/>
    <n v="221"/>
    <n v="16"/>
    <x v="2"/>
    <n v="5"/>
    <n v="30"/>
  </r>
  <r>
    <x v="0"/>
    <d v="2020-08-08T00:00:00"/>
    <n v="221"/>
    <n v="15"/>
    <x v="2"/>
    <n v="31"/>
    <n v="15"/>
  </r>
  <r>
    <x v="0"/>
    <d v="2020-08-08T00:00:00"/>
    <n v="221"/>
    <n v="14"/>
    <x v="0"/>
    <n v="4"/>
    <n v="0"/>
  </r>
  <r>
    <x v="0"/>
    <d v="2020-08-08T00:00:00"/>
    <n v="221"/>
    <n v="13"/>
    <x v="3"/>
    <n v="40"/>
    <n v="14"/>
  </r>
  <r>
    <x v="0"/>
    <d v="2020-08-08T00:00:00"/>
    <n v="221"/>
    <n v="12"/>
    <x v="2"/>
    <n v="12"/>
    <n v="7"/>
  </r>
  <r>
    <x v="0"/>
    <d v="2020-08-08T00:00:00"/>
    <n v="221"/>
    <n v="11"/>
    <x v="3"/>
    <n v="17"/>
    <n v="7"/>
  </r>
  <r>
    <x v="0"/>
    <d v="2020-08-08T00:00:00"/>
    <n v="221"/>
    <n v="10"/>
    <x v="1"/>
    <n v="6"/>
    <n v="2"/>
  </r>
  <r>
    <x v="0"/>
    <d v="2020-08-08T00:00:00"/>
    <n v="221"/>
    <n v="9"/>
    <x v="2"/>
    <n v="6"/>
    <n v="0"/>
  </r>
  <r>
    <x v="0"/>
    <d v="2020-08-08T00:00:00"/>
    <n v="221"/>
    <n v="8"/>
    <x v="2"/>
    <n v="3"/>
    <n v="2"/>
  </r>
  <r>
    <x v="0"/>
    <d v="2020-08-08T00:00:00"/>
    <n v="221"/>
    <n v="7"/>
    <x v="3"/>
    <n v="31"/>
    <n v="8"/>
  </r>
  <r>
    <x v="0"/>
    <d v="2020-08-08T00:00:00"/>
    <n v="221"/>
    <n v="6"/>
    <x v="0"/>
    <n v="0"/>
    <n v="1"/>
  </r>
  <r>
    <x v="0"/>
    <d v="2020-08-08T00:00:00"/>
    <n v="221"/>
    <n v="5"/>
    <x v="1"/>
    <n v="2"/>
    <n v="3"/>
  </r>
  <r>
    <x v="0"/>
    <d v="2020-08-08T00:00:00"/>
    <n v="221"/>
    <n v="4"/>
    <x v="1"/>
    <n v="4"/>
    <n v="1"/>
  </r>
  <r>
    <x v="0"/>
    <d v="2020-08-08T00:00:00"/>
    <n v="221"/>
    <n v="3"/>
    <x v="2"/>
    <n v="16"/>
    <n v="3"/>
  </r>
  <r>
    <x v="0"/>
    <d v="2020-08-08T00:00:00"/>
    <n v="221"/>
    <n v="2"/>
    <x v="1"/>
    <n v="0"/>
    <n v="0"/>
  </r>
  <r>
    <x v="0"/>
    <d v="2020-08-08T00:00:00"/>
    <n v="221"/>
    <n v="1"/>
    <x v="0"/>
    <n v="1"/>
    <n v="0"/>
  </r>
  <r>
    <x v="0"/>
    <d v="2020-08-11T00:00:00"/>
    <n v="224"/>
    <n v="20"/>
    <x v="0"/>
    <n v="1"/>
    <n v="0"/>
  </r>
  <r>
    <x v="0"/>
    <d v="2020-08-11T00:00:00"/>
    <n v="224"/>
    <n v="19"/>
    <x v="3"/>
    <n v="14"/>
    <n v="1"/>
  </r>
  <r>
    <x v="0"/>
    <d v="2020-08-11T00:00:00"/>
    <n v="224"/>
    <n v="18"/>
    <x v="2"/>
    <n v="4"/>
    <n v="0"/>
  </r>
  <r>
    <x v="0"/>
    <d v="2020-08-11T00:00:00"/>
    <n v="224"/>
    <n v="17"/>
    <x v="0"/>
    <n v="3"/>
    <n v="4"/>
  </r>
  <r>
    <x v="0"/>
    <d v="2020-08-11T00:00:00"/>
    <n v="224"/>
    <n v="16"/>
    <x v="0"/>
    <n v="1"/>
    <n v="0"/>
  </r>
  <r>
    <x v="0"/>
    <d v="2020-08-11T00:00:00"/>
    <n v="224"/>
    <n v="15"/>
    <x v="2"/>
    <n v="4"/>
    <n v="0"/>
  </r>
  <r>
    <x v="0"/>
    <d v="2020-08-11T00:00:00"/>
    <n v="224"/>
    <n v="14"/>
    <x v="1"/>
    <n v="0"/>
    <n v="1"/>
  </r>
  <r>
    <x v="0"/>
    <d v="2020-08-11T00:00:00"/>
    <n v="224"/>
    <n v="13"/>
    <x v="0"/>
    <n v="0"/>
    <n v="1"/>
  </r>
  <r>
    <x v="0"/>
    <d v="2020-08-11T00:00:00"/>
    <n v="224"/>
    <n v="12"/>
    <x v="2"/>
    <n v="10"/>
    <n v="16"/>
  </r>
  <r>
    <x v="0"/>
    <d v="2020-08-11T00:00:00"/>
    <n v="224"/>
    <n v="11"/>
    <x v="1"/>
    <n v="3"/>
    <n v="52"/>
  </r>
  <r>
    <x v="0"/>
    <d v="2020-08-11T00:00:00"/>
    <n v="224"/>
    <n v="10"/>
    <x v="1"/>
    <n v="2"/>
    <n v="6"/>
  </r>
  <r>
    <x v="0"/>
    <d v="2020-08-11T00:00:00"/>
    <n v="224"/>
    <n v="9"/>
    <x v="1"/>
    <n v="4"/>
    <n v="15"/>
  </r>
  <r>
    <x v="0"/>
    <d v="2020-08-11T00:00:00"/>
    <n v="224"/>
    <n v="8"/>
    <x v="0"/>
    <n v="5"/>
    <n v="10"/>
  </r>
  <r>
    <x v="0"/>
    <d v="2020-08-11T00:00:00"/>
    <n v="224"/>
    <n v="7"/>
    <x v="3"/>
    <n v="78"/>
    <n v="12"/>
  </r>
  <r>
    <x v="0"/>
    <d v="2020-08-11T00:00:00"/>
    <n v="224"/>
    <n v="6"/>
    <x v="2"/>
    <n v="6"/>
    <n v="2"/>
  </r>
  <r>
    <x v="0"/>
    <d v="2020-08-11T00:00:00"/>
    <n v="224"/>
    <n v="5"/>
    <x v="3"/>
    <n v="71"/>
    <n v="7"/>
  </r>
  <r>
    <x v="0"/>
    <d v="2020-08-11T00:00:00"/>
    <n v="224"/>
    <n v="4"/>
    <x v="3"/>
    <n v="17"/>
    <n v="3"/>
  </r>
  <r>
    <x v="0"/>
    <d v="2020-08-11T00:00:00"/>
    <n v="224"/>
    <n v="3"/>
    <x v="2"/>
    <n v="3"/>
    <n v="4"/>
  </r>
  <r>
    <x v="0"/>
    <d v="2020-08-11T00:00:00"/>
    <n v="224"/>
    <n v="2"/>
    <x v="1"/>
    <n v="4"/>
    <n v="2"/>
  </r>
  <r>
    <x v="0"/>
    <d v="2020-08-11T00:00:00"/>
    <n v="224"/>
    <n v="1"/>
    <x v="3"/>
    <n v="64"/>
    <n v="1"/>
  </r>
  <r>
    <x v="1"/>
    <d v="2025-08-16T00:00:00"/>
    <n v="228"/>
    <n v="1"/>
    <x v="3"/>
    <n v="61"/>
    <n v="0"/>
  </r>
  <r>
    <x v="1"/>
    <d v="2025-08-16T00:00:00"/>
    <n v="228"/>
    <n v="2"/>
    <x v="0"/>
    <n v="1"/>
    <n v="3"/>
  </r>
  <r>
    <x v="1"/>
    <d v="2025-08-16T00:00:00"/>
    <n v="228"/>
    <n v="3"/>
    <x v="1"/>
    <n v="0"/>
    <n v="0"/>
  </r>
  <r>
    <x v="1"/>
    <d v="2025-08-16T00:00:00"/>
    <n v="228"/>
    <n v="4"/>
    <x v="2"/>
    <n v="2"/>
    <n v="0"/>
  </r>
  <r>
    <x v="1"/>
    <d v="2025-08-16T00:00:00"/>
    <n v="228"/>
    <n v="5"/>
    <x v="2"/>
    <n v="2"/>
    <n v="0"/>
  </r>
  <r>
    <x v="1"/>
    <d v="2025-08-16T00:00:00"/>
    <n v="228"/>
    <n v="6"/>
    <x v="3"/>
    <n v="4"/>
    <n v="0"/>
  </r>
  <r>
    <x v="1"/>
    <d v="2025-08-16T00:00:00"/>
    <n v="228"/>
    <n v="7"/>
    <x v="1"/>
    <n v="0"/>
    <n v="1"/>
  </r>
  <r>
    <x v="1"/>
    <d v="2025-08-16T00:00:00"/>
    <n v="228"/>
    <n v="8"/>
    <x v="0"/>
    <n v="0"/>
    <n v="0"/>
  </r>
  <r>
    <x v="1"/>
    <d v="2025-08-16T00:00:00"/>
    <n v="228"/>
    <n v="9"/>
    <x v="3"/>
    <n v="6"/>
    <n v="0"/>
  </r>
  <r>
    <x v="1"/>
    <d v="2025-08-16T00:00:00"/>
    <n v="228"/>
    <n v="10"/>
    <x v="1"/>
    <n v="2"/>
    <n v="0"/>
  </r>
  <r>
    <x v="1"/>
    <d v="2025-08-16T00:00:00"/>
    <n v="228"/>
    <n v="11"/>
    <x v="2"/>
    <n v="1"/>
    <n v="0"/>
  </r>
  <r>
    <x v="1"/>
    <d v="2025-08-16T00:00:00"/>
    <n v="228"/>
    <n v="12"/>
    <x v="0"/>
    <n v="0"/>
    <n v="0"/>
  </r>
  <r>
    <x v="1"/>
    <d v="2025-08-16T00:00:00"/>
    <n v="228"/>
    <n v="13"/>
    <x v="1"/>
    <n v="0"/>
    <n v="0"/>
  </r>
  <r>
    <x v="1"/>
    <d v="2025-08-16T00:00:00"/>
    <n v="228"/>
    <n v="14"/>
    <x v="0"/>
    <n v="0"/>
    <n v="0"/>
  </r>
  <r>
    <x v="1"/>
    <d v="2025-08-16T00:00:00"/>
    <n v="228"/>
    <n v="15"/>
    <x v="3"/>
    <n v="10"/>
    <n v="3"/>
  </r>
  <r>
    <x v="1"/>
    <d v="2025-08-16T00:00:00"/>
    <n v="228"/>
    <n v="16"/>
    <x v="2"/>
    <n v="0"/>
    <n v="0"/>
  </r>
  <r>
    <x v="1"/>
    <d v="2025-08-16T00:00:00"/>
    <n v="228"/>
    <n v="17"/>
    <x v="3"/>
    <n v="10"/>
    <n v="2"/>
  </r>
  <r>
    <x v="1"/>
    <d v="2025-08-16T00:00:00"/>
    <n v="228"/>
    <n v="18"/>
    <x v="2"/>
    <n v="0"/>
    <n v="0"/>
  </r>
  <r>
    <x v="1"/>
    <d v="2025-08-16T00:00:00"/>
    <n v="228"/>
    <n v="19"/>
    <x v="1"/>
    <n v="0"/>
    <n v="0"/>
  </r>
  <r>
    <x v="1"/>
    <d v="2025-08-16T00:00:00"/>
    <n v="228"/>
    <n v="20"/>
    <x v="0"/>
    <n v="0"/>
    <n v="0"/>
  </r>
  <r>
    <x v="1"/>
    <d v="2025-08-18T00:00:00"/>
    <n v="230"/>
    <n v="1"/>
    <x v="0"/>
    <n v="0"/>
    <n v="0"/>
  </r>
  <r>
    <x v="1"/>
    <d v="2025-08-18T00:00:00"/>
    <n v="230"/>
    <n v="2"/>
    <x v="3"/>
    <n v="0"/>
    <n v="0"/>
  </r>
  <r>
    <x v="1"/>
    <d v="2025-08-18T00:00:00"/>
    <n v="230"/>
    <n v="3"/>
    <x v="1"/>
    <n v="0"/>
    <n v="0"/>
  </r>
  <r>
    <x v="1"/>
    <d v="2025-08-18T00:00:00"/>
    <n v="230"/>
    <n v="4"/>
    <x v="3"/>
    <n v="0"/>
    <n v="0"/>
  </r>
  <r>
    <x v="1"/>
    <d v="2025-08-18T00:00:00"/>
    <n v="230"/>
    <n v="5"/>
    <x v="1"/>
    <n v="1"/>
    <n v="0"/>
  </r>
  <r>
    <x v="1"/>
    <d v="2025-08-18T00:00:00"/>
    <n v="230"/>
    <n v="6"/>
    <x v="1"/>
    <n v="1"/>
    <n v="4"/>
  </r>
  <r>
    <x v="1"/>
    <d v="2025-08-18T00:00:00"/>
    <n v="230"/>
    <n v="7"/>
    <x v="0"/>
    <n v="0"/>
    <n v="0"/>
  </r>
  <r>
    <x v="1"/>
    <d v="2025-08-18T00:00:00"/>
    <n v="230"/>
    <n v="8"/>
    <x v="2"/>
    <n v="1"/>
    <n v="3"/>
  </r>
  <r>
    <x v="1"/>
    <d v="2025-08-18T00:00:00"/>
    <n v="230"/>
    <n v="9"/>
    <x v="2"/>
    <n v="2"/>
    <n v="0"/>
  </r>
  <r>
    <x v="1"/>
    <d v="2025-08-18T00:00:00"/>
    <n v="230"/>
    <n v="10"/>
    <x v="2"/>
    <n v="0"/>
    <n v="0"/>
  </r>
  <r>
    <x v="1"/>
    <d v="2025-08-18T00:00:00"/>
    <n v="230"/>
    <n v="11"/>
    <x v="3"/>
    <n v="2"/>
    <n v="3"/>
  </r>
  <r>
    <x v="1"/>
    <d v="2025-08-18T00:00:00"/>
    <n v="230"/>
    <n v="12"/>
    <x v="1"/>
    <n v="0"/>
    <n v="2"/>
  </r>
  <r>
    <x v="1"/>
    <d v="2025-08-18T00:00:00"/>
    <n v="230"/>
    <n v="13"/>
    <x v="0"/>
    <n v="0"/>
    <n v="9"/>
  </r>
  <r>
    <x v="1"/>
    <d v="2025-08-18T00:00:00"/>
    <n v="230"/>
    <n v="14"/>
    <x v="1"/>
    <n v="0"/>
    <n v="16"/>
  </r>
  <r>
    <x v="1"/>
    <d v="2025-08-18T00:00:00"/>
    <n v="230"/>
    <n v="15"/>
    <x v="2"/>
    <n v="0"/>
    <n v="3"/>
  </r>
  <r>
    <x v="1"/>
    <d v="2025-08-18T00:00:00"/>
    <n v="230"/>
    <n v="16"/>
    <x v="0"/>
    <n v="0"/>
    <n v="0"/>
  </r>
  <r>
    <x v="1"/>
    <d v="2025-08-18T00:00:00"/>
    <n v="230"/>
    <n v="17"/>
    <x v="3"/>
    <n v="6"/>
    <n v="0"/>
  </r>
  <r>
    <x v="1"/>
    <d v="2025-08-18T00:00:00"/>
    <n v="230"/>
    <n v="18"/>
    <x v="3"/>
    <n v="2"/>
    <n v="0"/>
  </r>
  <r>
    <x v="1"/>
    <d v="2025-08-18T00:00:00"/>
    <n v="230"/>
    <n v="20"/>
    <x v="2"/>
    <n v="0"/>
    <n v="0"/>
  </r>
  <r>
    <x v="1"/>
    <d v="2025-08-19T00:00:00"/>
    <n v="231"/>
    <n v="1"/>
    <x v="1"/>
    <n v="0"/>
    <n v="1"/>
  </r>
  <r>
    <x v="1"/>
    <d v="2025-08-19T00:00:00"/>
    <n v="231"/>
    <n v="2"/>
    <x v="3"/>
    <n v="28"/>
    <n v="0"/>
  </r>
  <r>
    <x v="1"/>
    <d v="2025-08-19T00:00:00"/>
    <n v="231"/>
    <n v="3"/>
    <x v="2"/>
    <n v="0"/>
    <n v="1"/>
  </r>
  <r>
    <x v="1"/>
    <d v="2025-08-19T00:00:00"/>
    <n v="231"/>
    <n v="4"/>
    <x v="1"/>
    <n v="2"/>
    <n v="1"/>
  </r>
  <r>
    <x v="1"/>
    <d v="2025-08-19T00:00:00"/>
    <n v="231"/>
    <n v="5"/>
    <x v="3"/>
    <n v="30"/>
    <n v="4"/>
  </r>
  <r>
    <x v="1"/>
    <d v="2025-08-19T00:00:00"/>
    <n v="231"/>
    <n v="6"/>
    <x v="3"/>
    <n v="48"/>
    <n v="0"/>
  </r>
  <r>
    <x v="1"/>
    <d v="2025-08-19T00:00:00"/>
    <n v="231"/>
    <n v="7"/>
    <x v="0"/>
    <n v="1"/>
    <n v="1"/>
  </r>
  <r>
    <x v="1"/>
    <d v="2025-08-19T00:00:00"/>
    <n v="231"/>
    <n v="8"/>
    <x v="3"/>
    <n v="10"/>
    <n v="0"/>
  </r>
  <r>
    <x v="1"/>
    <d v="2025-08-19T00:00:00"/>
    <n v="231"/>
    <n v="9"/>
    <x v="0"/>
    <n v="0"/>
    <n v="0"/>
  </r>
  <r>
    <x v="1"/>
    <d v="2025-08-19T00:00:00"/>
    <n v="231"/>
    <n v="10"/>
    <x v="0"/>
    <n v="0"/>
    <n v="1"/>
  </r>
  <r>
    <x v="1"/>
    <d v="2025-08-19T00:00:00"/>
    <n v="231"/>
    <n v="11"/>
    <x v="3"/>
    <n v="5"/>
    <n v="0"/>
  </r>
  <r>
    <x v="1"/>
    <d v="2025-08-19T00:00:00"/>
    <n v="231"/>
    <n v="12"/>
    <x v="2"/>
    <n v="7"/>
    <n v="4"/>
  </r>
  <r>
    <x v="1"/>
    <d v="2025-08-19T00:00:00"/>
    <n v="231"/>
    <n v="14"/>
    <x v="2"/>
    <n v="0"/>
    <n v="2"/>
  </r>
  <r>
    <x v="1"/>
    <d v="2025-08-19T00:00:00"/>
    <n v="231"/>
    <n v="15"/>
    <x v="1"/>
    <n v="1"/>
    <n v="0"/>
  </r>
  <r>
    <x v="1"/>
    <d v="2025-08-19T00:00:00"/>
    <n v="231"/>
    <n v="16"/>
    <x v="0"/>
    <n v="2"/>
    <n v="1"/>
  </r>
  <r>
    <x v="1"/>
    <d v="2025-08-19T00:00:00"/>
    <n v="231"/>
    <n v="17"/>
    <x v="2"/>
    <n v="2"/>
    <n v="1"/>
  </r>
  <r>
    <x v="1"/>
    <d v="2025-08-19T00:00:00"/>
    <n v="231"/>
    <n v="18"/>
    <x v="2"/>
    <n v="0"/>
    <n v="0"/>
  </r>
  <r>
    <x v="1"/>
    <d v="2025-08-19T00:00:00"/>
    <n v="231"/>
    <n v="19"/>
    <x v="1"/>
    <n v="0"/>
    <n v="0"/>
  </r>
  <r>
    <x v="1"/>
    <d v="2025-08-19T00:00:00"/>
    <n v="231"/>
    <n v="20"/>
    <x v="1"/>
    <n v="0"/>
    <n v="0"/>
  </r>
  <r>
    <x v="1"/>
    <d v="2025-08-19T00:00:00"/>
    <n v="231"/>
    <n v="21"/>
    <x v="0"/>
    <n v="0"/>
    <n v="0"/>
  </r>
  <r>
    <x v="1"/>
    <d v="2025-08-20T00:00:00"/>
    <n v="232"/>
    <n v="1"/>
    <x v="1"/>
    <n v="2"/>
    <n v="2"/>
  </r>
  <r>
    <x v="1"/>
    <d v="2025-08-20T00:00:00"/>
    <n v="232"/>
    <n v="2"/>
    <x v="0"/>
    <n v="0"/>
    <n v="0"/>
  </r>
  <r>
    <x v="1"/>
    <d v="2025-08-20T00:00:00"/>
    <n v="232"/>
    <n v="3"/>
    <x v="3"/>
    <n v="6"/>
    <n v="1"/>
  </r>
  <r>
    <x v="1"/>
    <d v="2025-08-20T00:00:00"/>
    <n v="232"/>
    <n v="4"/>
    <x v="2"/>
    <n v="1"/>
    <n v="1"/>
  </r>
  <r>
    <x v="1"/>
    <d v="2025-08-20T00:00:00"/>
    <n v="232"/>
    <n v="5"/>
    <x v="0"/>
    <n v="1"/>
    <n v="0"/>
  </r>
  <r>
    <x v="1"/>
    <d v="2025-08-20T00:00:00"/>
    <n v="232"/>
    <n v="6"/>
    <x v="1"/>
    <n v="0"/>
    <n v="1"/>
  </r>
  <r>
    <x v="1"/>
    <d v="2025-08-20T00:00:00"/>
    <n v="232"/>
    <n v="7"/>
    <x v="0"/>
    <n v="1"/>
    <n v="0"/>
  </r>
  <r>
    <x v="1"/>
    <d v="2025-08-20T00:00:00"/>
    <n v="232"/>
    <n v="8"/>
    <x v="3"/>
    <n v="2"/>
    <n v="2"/>
  </r>
  <r>
    <x v="1"/>
    <d v="2025-08-20T00:00:00"/>
    <n v="232"/>
    <n v="9"/>
    <x v="1"/>
    <n v="1"/>
    <n v="0"/>
  </r>
  <r>
    <x v="1"/>
    <d v="2025-08-20T00:00:00"/>
    <n v="232"/>
    <n v="10"/>
    <x v="0"/>
    <n v="3"/>
    <n v="0"/>
  </r>
  <r>
    <x v="1"/>
    <d v="2025-08-20T00:00:00"/>
    <n v="232"/>
    <n v="12"/>
    <x v="0"/>
    <n v="0"/>
    <n v="0"/>
  </r>
  <r>
    <x v="1"/>
    <d v="2025-08-20T00:00:00"/>
    <n v="232"/>
    <n v="13"/>
    <x v="1"/>
    <n v="0"/>
    <n v="1"/>
  </r>
  <r>
    <x v="1"/>
    <d v="2025-08-20T00:00:00"/>
    <n v="232"/>
    <n v="14"/>
    <x v="2"/>
    <n v="0"/>
    <n v="2"/>
  </r>
  <r>
    <x v="1"/>
    <d v="2025-08-20T00:00:00"/>
    <n v="232"/>
    <n v="15"/>
    <x v="2"/>
    <n v="0"/>
    <n v="0"/>
  </r>
  <r>
    <x v="1"/>
    <d v="2025-08-20T00:00:00"/>
    <n v="232"/>
    <n v="18"/>
    <x v="2"/>
    <n v="0"/>
    <n v="0"/>
  </r>
  <r>
    <x v="1"/>
    <d v="2025-08-20T00:00:00"/>
    <n v="232"/>
    <n v="19"/>
    <x v="1"/>
    <n v="0"/>
    <n v="0"/>
  </r>
  <r>
    <x v="1"/>
    <d v="2025-08-20T00:00:00"/>
    <n v="232"/>
    <n v="20"/>
    <x v="2"/>
    <n v="0"/>
    <n v="0"/>
  </r>
  <r>
    <x v="1"/>
    <d v="2025-08-20T00:00:00"/>
    <n v="232"/>
    <n v="21"/>
    <x v="3"/>
    <n v="9"/>
    <n v="2"/>
  </r>
  <r>
    <x v="2"/>
    <m/>
    <m/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d v="2015-08-03T00:00:00"/>
    <n v="215"/>
    <n v="2"/>
    <x v="0"/>
  </r>
  <r>
    <x v="0"/>
    <d v="2015-08-03T00:00:00"/>
    <n v="215"/>
    <n v="5"/>
    <x v="0"/>
  </r>
  <r>
    <x v="0"/>
    <d v="2015-08-03T00:00:00"/>
    <n v="215"/>
    <n v="8"/>
    <x v="0"/>
  </r>
  <r>
    <x v="0"/>
    <d v="2015-08-03T00:00:00"/>
    <n v="215"/>
    <n v="11"/>
    <x v="0"/>
  </r>
  <r>
    <x v="0"/>
    <d v="2015-08-03T00:00:00"/>
    <n v="215"/>
    <n v="14"/>
    <x v="0"/>
  </r>
  <r>
    <x v="0"/>
    <d v="2015-08-03T00:00:00"/>
    <n v="215"/>
    <n v="1"/>
    <x v="1"/>
  </r>
  <r>
    <x v="0"/>
    <d v="2015-08-03T00:00:00"/>
    <n v="215"/>
    <n v="4"/>
    <x v="1"/>
  </r>
  <r>
    <x v="0"/>
    <d v="2015-08-03T00:00:00"/>
    <n v="215"/>
    <n v="7"/>
    <x v="1"/>
  </r>
  <r>
    <x v="0"/>
    <d v="2015-08-03T00:00:00"/>
    <n v="215"/>
    <n v="10"/>
    <x v="1"/>
  </r>
  <r>
    <x v="0"/>
    <d v="2015-08-03T00:00:00"/>
    <n v="215"/>
    <n v="13"/>
    <x v="1"/>
  </r>
  <r>
    <x v="0"/>
    <d v="2015-08-03T00:00:00"/>
    <n v="215"/>
    <n v="3"/>
    <x v="2"/>
  </r>
  <r>
    <x v="0"/>
    <d v="2015-08-03T00:00:00"/>
    <n v="215"/>
    <n v="6"/>
    <x v="2"/>
  </r>
  <r>
    <x v="0"/>
    <d v="2015-08-03T00:00:00"/>
    <n v="215"/>
    <n v="9"/>
    <x v="2"/>
  </r>
  <r>
    <x v="0"/>
    <d v="2015-08-03T00:00:00"/>
    <n v="215"/>
    <n v="12"/>
    <x v="2"/>
  </r>
  <r>
    <x v="0"/>
    <d v="2015-08-03T00:00:00"/>
    <n v="215"/>
    <n v="15"/>
    <x v="2"/>
  </r>
  <r>
    <x v="0"/>
    <d v="2015-08-03T00:00:00"/>
    <n v="215"/>
    <n v="2"/>
    <x v="0"/>
  </r>
  <r>
    <x v="0"/>
    <d v="2015-08-03T00:00:00"/>
    <n v="215"/>
    <n v="5"/>
    <x v="0"/>
  </r>
  <r>
    <x v="0"/>
    <d v="2015-08-03T00:00:00"/>
    <n v="215"/>
    <n v="8"/>
    <x v="0"/>
  </r>
  <r>
    <x v="0"/>
    <d v="2015-08-03T00:00:00"/>
    <n v="215"/>
    <n v="11"/>
    <x v="0"/>
  </r>
  <r>
    <x v="0"/>
    <d v="2015-08-03T00:00:00"/>
    <n v="215"/>
    <n v="14"/>
    <x v="0"/>
  </r>
  <r>
    <x v="0"/>
    <d v="2015-08-03T00:00:00"/>
    <n v="215"/>
    <n v="1"/>
    <x v="1"/>
  </r>
  <r>
    <x v="0"/>
    <d v="2015-08-03T00:00:00"/>
    <n v="215"/>
    <n v="4"/>
    <x v="1"/>
  </r>
  <r>
    <x v="0"/>
    <d v="2015-08-03T00:00:00"/>
    <n v="215"/>
    <n v="7"/>
    <x v="1"/>
  </r>
  <r>
    <x v="0"/>
    <d v="2015-08-03T00:00:00"/>
    <n v="215"/>
    <n v="10"/>
    <x v="1"/>
  </r>
  <r>
    <x v="0"/>
    <d v="2015-08-03T00:00:00"/>
    <n v="215"/>
    <n v="13"/>
    <x v="1"/>
  </r>
  <r>
    <x v="0"/>
    <d v="2015-08-03T00:00:00"/>
    <n v="215"/>
    <n v="3"/>
    <x v="2"/>
  </r>
  <r>
    <x v="0"/>
    <d v="2015-08-03T00:00:00"/>
    <n v="215"/>
    <n v="6"/>
    <x v="2"/>
  </r>
  <r>
    <x v="0"/>
    <d v="2015-08-03T00:00:00"/>
    <n v="215"/>
    <n v="9"/>
    <x v="2"/>
  </r>
  <r>
    <x v="0"/>
    <d v="2015-08-03T00:00:00"/>
    <n v="215"/>
    <n v="12"/>
    <x v="2"/>
  </r>
  <r>
    <x v="0"/>
    <d v="2015-08-03T00:00:00"/>
    <n v="215"/>
    <n v="15"/>
    <x v="2"/>
  </r>
  <r>
    <x v="0"/>
    <d v="2015-08-04T00:00:00"/>
    <n v="216"/>
    <n v="2"/>
    <x v="0"/>
  </r>
  <r>
    <x v="0"/>
    <d v="2015-08-04T00:00:00"/>
    <n v="216"/>
    <n v="5"/>
    <x v="0"/>
  </r>
  <r>
    <x v="0"/>
    <d v="2015-08-04T00:00:00"/>
    <n v="216"/>
    <n v="8"/>
    <x v="0"/>
  </r>
  <r>
    <x v="0"/>
    <d v="2015-08-04T00:00:00"/>
    <n v="216"/>
    <n v="11"/>
    <x v="0"/>
  </r>
  <r>
    <x v="0"/>
    <d v="2015-08-04T00:00:00"/>
    <n v="216"/>
    <n v="14"/>
    <x v="0"/>
  </r>
  <r>
    <x v="0"/>
    <d v="2015-08-04T00:00:00"/>
    <n v="216"/>
    <n v="4"/>
    <x v="1"/>
  </r>
  <r>
    <x v="0"/>
    <d v="2015-08-04T00:00:00"/>
    <n v="216"/>
    <n v="7"/>
    <x v="1"/>
  </r>
  <r>
    <x v="0"/>
    <d v="2015-08-04T00:00:00"/>
    <n v="216"/>
    <n v="10"/>
    <x v="1"/>
  </r>
  <r>
    <x v="0"/>
    <d v="2015-08-04T00:00:00"/>
    <n v="216"/>
    <n v="13"/>
    <x v="1"/>
  </r>
  <r>
    <x v="0"/>
    <d v="2015-08-04T00:00:00"/>
    <n v="216"/>
    <n v="3"/>
    <x v="2"/>
  </r>
  <r>
    <x v="0"/>
    <d v="2015-08-04T00:00:00"/>
    <n v="216"/>
    <n v="6"/>
    <x v="2"/>
  </r>
  <r>
    <x v="0"/>
    <d v="2015-08-04T00:00:00"/>
    <n v="216"/>
    <n v="9"/>
    <x v="2"/>
  </r>
  <r>
    <x v="0"/>
    <d v="2015-08-04T00:00:00"/>
    <n v="216"/>
    <n v="12"/>
    <x v="2"/>
  </r>
  <r>
    <x v="0"/>
    <d v="2015-08-04T00:00:00"/>
    <n v="216"/>
    <n v="15"/>
    <x v="2"/>
  </r>
  <r>
    <x v="0"/>
    <d v="2015-08-05T00:00:00"/>
    <n v="217"/>
    <n v="2"/>
    <x v="0"/>
  </r>
  <r>
    <x v="0"/>
    <d v="2015-08-05T00:00:00"/>
    <n v="217"/>
    <n v="5"/>
    <x v="0"/>
  </r>
  <r>
    <x v="0"/>
    <d v="2015-08-05T00:00:00"/>
    <n v="217"/>
    <n v="8"/>
    <x v="0"/>
  </r>
  <r>
    <x v="0"/>
    <d v="2015-08-05T00:00:00"/>
    <n v="217"/>
    <n v="11"/>
    <x v="0"/>
  </r>
  <r>
    <x v="0"/>
    <d v="2015-08-05T00:00:00"/>
    <n v="217"/>
    <n v="14"/>
    <x v="0"/>
  </r>
  <r>
    <x v="0"/>
    <d v="2015-08-05T00:00:00"/>
    <n v="217"/>
    <n v="4"/>
    <x v="1"/>
  </r>
  <r>
    <x v="0"/>
    <d v="2015-08-05T00:00:00"/>
    <n v="217"/>
    <n v="7"/>
    <x v="1"/>
  </r>
  <r>
    <x v="0"/>
    <d v="2015-08-05T00:00:00"/>
    <n v="217"/>
    <n v="10"/>
    <x v="1"/>
  </r>
  <r>
    <x v="0"/>
    <d v="2015-08-05T00:00:00"/>
    <n v="217"/>
    <n v="13"/>
    <x v="1"/>
  </r>
  <r>
    <x v="0"/>
    <d v="2015-08-05T00:00:00"/>
    <n v="217"/>
    <n v="3"/>
    <x v="2"/>
  </r>
  <r>
    <x v="0"/>
    <d v="2015-08-05T00:00:00"/>
    <n v="217"/>
    <n v="6"/>
    <x v="2"/>
  </r>
  <r>
    <x v="0"/>
    <d v="2015-08-05T00:00:00"/>
    <n v="217"/>
    <n v="9"/>
    <x v="2"/>
  </r>
  <r>
    <x v="0"/>
    <d v="2015-08-05T00:00:00"/>
    <n v="217"/>
    <n v="12"/>
    <x v="2"/>
  </r>
  <r>
    <x v="0"/>
    <d v="2015-08-05T00:00:00"/>
    <n v="217"/>
    <n v="15"/>
    <x v="2"/>
  </r>
  <r>
    <x v="0"/>
    <d v="2015-08-06T00:00:00"/>
    <n v="218"/>
    <n v="2"/>
    <x v="0"/>
  </r>
  <r>
    <x v="0"/>
    <d v="2015-08-06T00:00:00"/>
    <n v="218"/>
    <n v="5"/>
    <x v="0"/>
  </r>
  <r>
    <x v="0"/>
    <d v="2015-08-06T00:00:00"/>
    <n v="218"/>
    <n v="8"/>
    <x v="0"/>
  </r>
  <r>
    <x v="0"/>
    <d v="2015-08-06T00:00:00"/>
    <n v="218"/>
    <n v="11"/>
    <x v="0"/>
  </r>
  <r>
    <x v="0"/>
    <d v="2015-08-06T00:00:00"/>
    <n v="218"/>
    <n v="14"/>
    <x v="0"/>
  </r>
  <r>
    <x v="0"/>
    <d v="2015-08-06T00:00:00"/>
    <n v="218"/>
    <n v="4"/>
    <x v="1"/>
  </r>
  <r>
    <x v="0"/>
    <d v="2015-08-06T00:00:00"/>
    <n v="218"/>
    <n v="7"/>
    <x v="1"/>
  </r>
  <r>
    <x v="0"/>
    <d v="2015-08-06T00:00:00"/>
    <n v="218"/>
    <n v="10"/>
    <x v="1"/>
  </r>
  <r>
    <x v="0"/>
    <d v="2015-08-06T00:00:00"/>
    <n v="218"/>
    <n v="13"/>
    <x v="1"/>
  </r>
  <r>
    <x v="0"/>
    <d v="2015-08-06T00:00:00"/>
    <n v="218"/>
    <n v="3"/>
    <x v="2"/>
  </r>
  <r>
    <x v="0"/>
    <d v="2015-08-06T00:00:00"/>
    <n v="218"/>
    <n v="6"/>
    <x v="2"/>
  </r>
  <r>
    <x v="0"/>
    <d v="2015-08-06T00:00:00"/>
    <n v="218"/>
    <n v="9"/>
    <x v="2"/>
  </r>
  <r>
    <x v="0"/>
    <d v="2015-08-06T00:00:00"/>
    <n v="218"/>
    <n v="12"/>
    <x v="2"/>
  </r>
  <r>
    <x v="0"/>
    <d v="2015-08-06T00:00:00"/>
    <n v="218"/>
    <n v="15"/>
    <x v="2"/>
  </r>
  <r>
    <x v="0"/>
    <d v="2015-08-07T00:00:00"/>
    <n v="219"/>
    <n v="2"/>
    <x v="0"/>
  </r>
  <r>
    <x v="0"/>
    <d v="2015-08-07T00:00:00"/>
    <n v="219"/>
    <n v="5"/>
    <x v="0"/>
  </r>
  <r>
    <x v="0"/>
    <d v="2015-08-07T00:00:00"/>
    <n v="219"/>
    <n v="8"/>
    <x v="0"/>
  </r>
  <r>
    <x v="0"/>
    <d v="2015-08-07T00:00:00"/>
    <n v="219"/>
    <n v="11"/>
    <x v="0"/>
  </r>
  <r>
    <x v="0"/>
    <d v="2015-08-07T00:00:00"/>
    <n v="219"/>
    <n v="14"/>
    <x v="0"/>
  </r>
  <r>
    <x v="0"/>
    <d v="2015-08-07T00:00:00"/>
    <n v="219"/>
    <n v="1"/>
    <x v="1"/>
  </r>
  <r>
    <x v="0"/>
    <d v="2015-08-07T00:00:00"/>
    <n v="219"/>
    <n v="4"/>
    <x v="1"/>
  </r>
  <r>
    <x v="0"/>
    <d v="2015-08-07T00:00:00"/>
    <n v="219"/>
    <n v="7"/>
    <x v="1"/>
  </r>
  <r>
    <x v="0"/>
    <d v="2015-08-07T00:00:00"/>
    <n v="219"/>
    <n v="10"/>
    <x v="1"/>
  </r>
  <r>
    <x v="0"/>
    <d v="2015-08-07T00:00:00"/>
    <n v="219"/>
    <n v="13"/>
    <x v="1"/>
  </r>
  <r>
    <x v="0"/>
    <d v="2015-08-07T00:00:00"/>
    <n v="219"/>
    <n v="3"/>
    <x v="2"/>
  </r>
  <r>
    <x v="0"/>
    <d v="2015-08-07T00:00:00"/>
    <n v="219"/>
    <n v="6"/>
    <x v="2"/>
  </r>
  <r>
    <x v="0"/>
    <d v="2015-08-07T00:00:00"/>
    <n v="219"/>
    <n v="9"/>
    <x v="2"/>
  </r>
  <r>
    <x v="0"/>
    <d v="2015-08-07T00:00:00"/>
    <n v="219"/>
    <n v="12"/>
    <x v="2"/>
  </r>
  <r>
    <x v="0"/>
    <d v="2015-08-07T00:00:00"/>
    <n v="219"/>
    <n v="15"/>
    <x v="2"/>
  </r>
  <r>
    <x v="0"/>
    <d v="2015-08-09T00:00:00"/>
    <n v="221"/>
    <n v="15"/>
    <x v="2"/>
  </r>
  <r>
    <x v="0"/>
    <d v="2015-08-09T00:00:00"/>
    <n v="221"/>
    <n v="2"/>
    <x v="0"/>
  </r>
  <r>
    <x v="0"/>
    <d v="2015-08-09T00:00:00"/>
    <n v="221"/>
    <n v="5"/>
    <x v="0"/>
  </r>
  <r>
    <x v="0"/>
    <d v="2015-08-09T00:00:00"/>
    <n v="221"/>
    <n v="8"/>
    <x v="0"/>
  </r>
  <r>
    <x v="0"/>
    <d v="2015-08-09T00:00:00"/>
    <n v="221"/>
    <n v="11"/>
    <x v="0"/>
  </r>
  <r>
    <x v="0"/>
    <d v="2015-08-09T00:00:00"/>
    <n v="221"/>
    <n v="14"/>
    <x v="0"/>
  </r>
  <r>
    <x v="0"/>
    <d v="2015-08-09T00:00:00"/>
    <n v="221"/>
    <n v="1"/>
    <x v="1"/>
  </r>
  <r>
    <x v="0"/>
    <d v="2015-08-09T00:00:00"/>
    <n v="221"/>
    <n v="4"/>
    <x v="1"/>
  </r>
  <r>
    <x v="0"/>
    <d v="2015-08-09T00:00:00"/>
    <n v="221"/>
    <n v="7"/>
    <x v="1"/>
  </r>
  <r>
    <x v="0"/>
    <d v="2015-08-09T00:00:00"/>
    <n v="221"/>
    <n v="10"/>
    <x v="1"/>
  </r>
  <r>
    <x v="0"/>
    <d v="2015-08-09T00:00:00"/>
    <n v="221"/>
    <n v="13"/>
    <x v="1"/>
  </r>
  <r>
    <x v="0"/>
    <d v="2015-08-09T00:00:00"/>
    <n v="221"/>
    <n v="3"/>
    <x v="2"/>
  </r>
  <r>
    <x v="0"/>
    <d v="2015-08-09T00:00:00"/>
    <n v="221"/>
    <n v="6"/>
    <x v="2"/>
  </r>
  <r>
    <x v="0"/>
    <d v="2015-08-09T00:00:00"/>
    <n v="221"/>
    <n v="9"/>
    <x v="2"/>
  </r>
  <r>
    <x v="0"/>
    <d v="2015-08-09T00:00:00"/>
    <n v="221"/>
    <n v="12"/>
    <x v="2"/>
  </r>
  <r>
    <x v="1"/>
    <d v="2020-08-04T00:00:00"/>
    <n v="217"/>
    <n v="2"/>
    <x v="0"/>
  </r>
  <r>
    <x v="1"/>
    <d v="2020-08-04T00:00:00"/>
    <n v="217"/>
    <n v="4"/>
    <x v="0"/>
  </r>
  <r>
    <x v="1"/>
    <d v="2020-08-04T00:00:00"/>
    <n v="217"/>
    <n v="15"/>
    <x v="0"/>
  </r>
  <r>
    <x v="1"/>
    <d v="2020-08-04T00:00:00"/>
    <n v="217"/>
    <n v="17"/>
    <x v="0"/>
  </r>
  <r>
    <x v="1"/>
    <d v="2020-08-04T00:00:00"/>
    <n v="217"/>
    <n v="18"/>
    <x v="0"/>
  </r>
  <r>
    <x v="1"/>
    <d v="2020-08-04T00:00:00"/>
    <n v="217"/>
    <n v="1"/>
    <x v="1"/>
  </r>
  <r>
    <x v="1"/>
    <d v="2020-08-04T00:00:00"/>
    <n v="217"/>
    <n v="10"/>
    <x v="1"/>
  </r>
  <r>
    <x v="1"/>
    <d v="2020-08-04T00:00:00"/>
    <n v="217"/>
    <n v="11"/>
    <x v="1"/>
  </r>
  <r>
    <x v="1"/>
    <d v="2020-08-04T00:00:00"/>
    <n v="217"/>
    <n v="12"/>
    <x v="1"/>
  </r>
  <r>
    <x v="1"/>
    <d v="2020-08-04T00:00:00"/>
    <n v="217"/>
    <n v="19"/>
    <x v="1"/>
  </r>
  <r>
    <x v="1"/>
    <d v="2020-08-04T00:00:00"/>
    <n v="217"/>
    <n v="6"/>
    <x v="2"/>
  </r>
  <r>
    <x v="1"/>
    <d v="2020-08-04T00:00:00"/>
    <n v="217"/>
    <n v="7"/>
    <x v="2"/>
  </r>
  <r>
    <x v="1"/>
    <d v="2020-08-04T00:00:00"/>
    <n v="217"/>
    <n v="8"/>
    <x v="2"/>
  </r>
  <r>
    <x v="1"/>
    <d v="2020-08-04T00:00:00"/>
    <n v="217"/>
    <n v="16"/>
    <x v="2"/>
  </r>
  <r>
    <x v="1"/>
    <d v="2020-08-04T00:00:00"/>
    <n v="217"/>
    <n v="20"/>
    <x v="2"/>
  </r>
  <r>
    <x v="1"/>
    <d v="2020-08-04T00:00:00"/>
    <n v="217"/>
    <n v="3"/>
    <x v="3"/>
  </r>
  <r>
    <x v="1"/>
    <d v="2020-08-04T00:00:00"/>
    <n v="217"/>
    <n v="5"/>
    <x v="3"/>
  </r>
  <r>
    <x v="1"/>
    <d v="2020-08-04T00:00:00"/>
    <n v="217"/>
    <n v="9"/>
    <x v="3"/>
  </r>
  <r>
    <x v="1"/>
    <d v="2020-08-04T00:00:00"/>
    <n v="217"/>
    <n v="13"/>
    <x v="3"/>
  </r>
  <r>
    <x v="1"/>
    <d v="2020-08-04T00:00:00"/>
    <n v="217"/>
    <n v="14"/>
    <x v="3"/>
  </r>
  <r>
    <x v="1"/>
    <d v="2020-08-05T00:00:00"/>
    <n v="218"/>
    <n v="19"/>
    <x v="0"/>
  </r>
  <r>
    <x v="1"/>
    <d v="2020-08-05T00:00:00"/>
    <n v="218"/>
    <n v="18"/>
    <x v="0"/>
  </r>
  <r>
    <x v="1"/>
    <d v="2020-08-05T00:00:00"/>
    <n v="218"/>
    <n v="16"/>
    <x v="0"/>
  </r>
  <r>
    <x v="1"/>
    <d v="2020-08-05T00:00:00"/>
    <n v="218"/>
    <n v="14"/>
    <x v="0"/>
  </r>
  <r>
    <x v="1"/>
    <d v="2020-08-05T00:00:00"/>
    <n v="218"/>
    <n v="13"/>
    <x v="0"/>
  </r>
  <r>
    <x v="1"/>
    <d v="2020-08-05T00:00:00"/>
    <n v="218"/>
    <n v="17"/>
    <x v="1"/>
  </r>
  <r>
    <x v="1"/>
    <d v="2020-08-05T00:00:00"/>
    <n v="218"/>
    <n v="15"/>
    <x v="1"/>
  </r>
  <r>
    <x v="1"/>
    <d v="2020-08-05T00:00:00"/>
    <n v="218"/>
    <n v="7"/>
    <x v="1"/>
  </r>
  <r>
    <x v="1"/>
    <d v="2020-08-05T00:00:00"/>
    <n v="218"/>
    <n v="6"/>
    <x v="1"/>
  </r>
  <r>
    <x v="1"/>
    <d v="2020-08-05T00:00:00"/>
    <n v="218"/>
    <n v="1"/>
    <x v="1"/>
  </r>
  <r>
    <x v="1"/>
    <d v="2020-08-05T00:00:00"/>
    <n v="218"/>
    <n v="20"/>
    <x v="2"/>
  </r>
  <r>
    <x v="1"/>
    <d v="2020-08-05T00:00:00"/>
    <n v="218"/>
    <n v="12"/>
    <x v="2"/>
  </r>
  <r>
    <x v="1"/>
    <d v="2020-08-05T00:00:00"/>
    <n v="218"/>
    <n v="11"/>
    <x v="2"/>
  </r>
  <r>
    <x v="1"/>
    <d v="2020-08-05T00:00:00"/>
    <n v="218"/>
    <n v="3"/>
    <x v="2"/>
  </r>
  <r>
    <x v="1"/>
    <d v="2020-08-05T00:00:00"/>
    <n v="218"/>
    <n v="2"/>
    <x v="2"/>
  </r>
  <r>
    <x v="1"/>
    <d v="2020-08-05T00:00:00"/>
    <n v="218"/>
    <n v="10"/>
    <x v="3"/>
  </r>
  <r>
    <x v="1"/>
    <d v="2020-08-05T00:00:00"/>
    <n v="218"/>
    <n v="9"/>
    <x v="3"/>
  </r>
  <r>
    <x v="1"/>
    <d v="2020-08-05T00:00:00"/>
    <n v="218"/>
    <n v="8"/>
    <x v="3"/>
  </r>
  <r>
    <x v="1"/>
    <d v="2020-08-05T00:00:00"/>
    <n v="218"/>
    <n v="5"/>
    <x v="3"/>
  </r>
  <r>
    <x v="1"/>
    <d v="2020-08-05T00:00:00"/>
    <n v="218"/>
    <n v="4"/>
    <x v="3"/>
  </r>
  <r>
    <x v="1"/>
    <d v="2020-08-06T00:00:00"/>
    <n v="219"/>
    <n v="20"/>
    <x v="0"/>
  </r>
  <r>
    <x v="1"/>
    <d v="2020-08-06T00:00:00"/>
    <n v="219"/>
    <n v="10"/>
    <x v="0"/>
  </r>
  <r>
    <x v="1"/>
    <d v="2020-08-06T00:00:00"/>
    <n v="219"/>
    <n v="9"/>
    <x v="0"/>
  </r>
  <r>
    <x v="1"/>
    <d v="2020-08-06T00:00:00"/>
    <n v="219"/>
    <n v="6"/>
    <x v="0"/>
  </r>
  <r>
    <x v="1"/>
    <d v="2020-08-06T00:00:00"/>
    <n v="219"/>
    <n v="1"/>
    <x v="0"/>
  </r>
  <r>
    <x v="1"/>
    <d v="2020-08-06T00:00:00"/>
    <n v="219"/>
    <n v="18"/>
    <x v="1"/>
  </r>
  <r>
    <x v="1"/>
    <d v="2020-08-06T00:00:00"/>
    <n v="219"/>
    <n v="14"/>
    <x v="1"/>
  </r>
  <r>
    <x v="1"/>
    <d v="2020-08-06T00:00:00"/>
    <n v="219"/>
    <n v="5"/>
    <x v="1"/>
  </r>
  <r>
    <x v="1"/>
    <d v="2020-08-06T00:00:00"/>
    <n v="219"/>
    <n v="4"/>
    <x v="1"/>
  </r>
  <r>
    <x v="1"/>
    <d v="2020-08-06T00:00:00"/>
    <n v="219"/>
    <n v="3"/>
    <x v="1"/>
  </r>
  <r>
    <x v="1"/>
    <d v="2020-08-06T00:00:00"/>
    <n v="219"/>
    <n v="19"/>
    <x v="2"/>
  </r>
  <r>
    <x v="1"/>
    <d v="2020-08-06T00:00:00"/>
    <n v="219"/>
    <n v="15"/>
    <x v="2"/>
  </r>
  <r>
    <x v="1"/>
    <d v="2020-08-06T00:00:00"/>
    <n v="219"/>
    <n v="11"/>
    <x v="2"/>
  </r>
  <r>
    <x v="1"/>
    <d v="2020-08-06T00:00:00"/>
    <n v="219"/>
    <n v="8"/>
    <x v="2"/>
  </r>
  <r>
    <x v="1"/>
    <d v="2020-08-06T00:00:00"/>
    <n v="219"/>
    <n v="7"/>
    <x v="2"/>
  </r>
  <r>
    <x v="1"/>
    <d v="2020-08-06T00:00:00"/>
    <n v="219"/>
    <n v="17"/>
    <x v="3"/>
  </r>
  <r>
    <x v="1"/>
    <d v="2020-08-06T00:00:00"/>
    <n v="219"/>
    <n v="16"/>
    <x v="3"/>
  </r>
  <r>
    <x v="1"/>
    <d v="2020-08-06T00:00:00"/>
    <n v="219"/>
    <n v="13"/>
    <x v="3"/>
  </r>
  <r>
    <x v="1"/>
    <d v="2020-08-06T00:00:00"/>
    <n v="219"/>
    <n v="12"/>
    <x v="3"/>
  </r>
  <r>
    <x v="1"/>
    <d v="2020-08-06T00:00:00"/>
    <n v="219"/>
    <n v="2"/>
    <x v="3"/>
  </r>
  <r>
    <x v="1"/>
    <d v="2020-08-07T00:00:00"/>
    <n v="220"/>
    <n v="16"/>
    <x v="0"/>
  </r>
  <r>
    <x v="1"/>
    <d v="2020-08-07T00:00:00"/>
    <n v="220"/>
    <n v="9"/>
    <x v="0"/>
  </r>
  <r>
    <x v="1"/>
    <d v="2020-08-07T00:00:00"/>
    <n v="220"/>
    <n v="5"/>
    <x v="0"/>
  </r>
  <r>
    <x v="1"/>
    <d v="2020-08-07T00:00:00"/>
    <n v="220"/>
    <n v="3"/>
    <x v="0"/>
  </r>
  <r>
    <x v="1"/>
    <d v="2020-08-07T00:00:00"/>
    <n v="220"/>
    <n v="2"/>
    <x v="0"/>
  </r>
  <r>
    <x v="1"/>
    <d v="2020-08-07T00:00:00"/>
    <n v="220"/>
    <n v="19"/>
    <x v="1"/>
  </r>
  <r>
    <x v="1"/>
    <d v="2020-08-07T00:00:00"/>
    <n v="220"/>
    <n v="17"/>
    <x v="1"/>
  </r>
  <r>
    <x v="1"/>
    <d v="2020-08-07T00:00:00"/>
    <n v="220"/>
    <n v="15"/>
    <x v="1"/>
  </r>
  <r>
    <x v="1"/>
    <d v="2020-08-07T00:00:00"/>
    <n v="220"/>
    <n v="13"/>
    <x v="1"/>
  </r>
  <r>
    <x v="1"/>
    <d v="2020-08-07T00:00:00"/>
    <n v="220"/>
    <n v="8"/>
    <x v="1"/>
  </r>
  <r>
    <x v="1"/>
    <d v="2020-08-07T00:00:00"/>
    <n v="220"/>
    <n v="20"/>
    <x v="2"/>
  </r>
  <r>
    <x v="1"/>
    <d v="2020-08-07T00:00:00"/>
    <n v="220"/>
    <n v="18"/>
    <x v="2"/>
  </r>
  <r>
    <x v="1"/>
    <d v="2020-08-07T00:00:00"/>
    <n v="220"/>
    <n v="14"/>
    <x v="2"/>
  </r>
  <r>
    <x v="1"/>
    <d v="2020-08-07T00:00:00"/>
    <n v="220"/>
    <n v="7"/>
    <x v="2"/>
  </r>
  <r>
    <x v="1"/>
    <d v="2020-08-07T00:00:00"/>
    <n v="220"/>
    <n v="6"/>
    <x v="2"/>
  </r>
  <r>
    <x v="1"/>
    <d v="2020-08-07T00:00:00"/>
    <n v="220"/>
    <n v="12"/>
    <x v="3"/>
  </r>
  <r>
    <x v="1"/>
    <d v="2020-08-07T00:00:00"/>
    <n v="220"/>
    <n v="11"/>
    <x v="3"/>
  </r>
  <r>
    <x v="1"/>
    <d v="2020-08-07T00:00:00"/>
    <n v="220"/>
    <n v="10"/>
    <x v="3"/>
  </r>
  <r>
    <x v="1"/>
    <d v="2020-08-07T00:00:00"/>
    <n v="220"/>
    <n v="4"/>
    <x v="3"/>
  </r>
  <r>
    <x v="1"/>
    <d v="2020-08-07T00:00:00"/>
    <n v="220"/>
    <n v="1"/>
    <x v="3"/>
  </r>
  <r>
    <x v="1"/>
    <d v="2020-08-08T00:00:00"/>
    <n v="221"/>
    <n v="20"/>
    <x v="0"/>
  </r>
  <r>
    <x v="1"/>
    <d v="2020-08-08T00:00:00"/>
    <n v="221"/>
    <n v="10"/>
    <x v="0"/>
  </r>
  <r>
    <x v="1"/>
    <d v="2020-08-08T00:00:00"/>
    <n v="221"/>
    <n v="5"/>
    <x v="0"/>
  </r>
  <r>
    <x v="1"/>
    <d v="2020-08-08T00:00:00"/>
    <n v="221"/>
    <n v="4"/>
    <x v="0"/>
  </r>
  <r>
    <x v="1"/>
    <d v="2020-08-08T00:00:00"/>
    <n v="221"/>
    <n v="2"/>
    <x v="0"/>
  </r>
  <r>
    <x v="1"/>
    <d v="2020-08-08T00:00:00"/>
    <n v="221"/>
    <n v="18"/>
    <x v="1"/>
  </r>
  <r>
    <x v="1"/>
    <d v="2020-08-08T00:00:00"/>
    <n v="221"/>
    <n v="17"/>
    <x v="1"/>
  </r>
  <r>
    <x v="1"/>
    <d v="2020-08-08T00:00:00"/>
    <n v="221"/>
    <n v="14"/>
    <x v="1"/>
  </r>
  <r>
    <x v="1"/>
    <d v="2020-08-08T00:00:00"/>
    <n v="221"/>
    <n v="6"/>
    <x v="1"/>
  </r>
  <r>
    <x v="1"/>
    <d v="2020-08-08T00:00:00"/>
    <n v="221"/>
    <n v="1"/>
    <x v="1"/>
  </r>
  <r>
    <x v="1"/>
    <d v="2020-08-08T00:00:00"/>
    <n v="221"/>
    <n v="19"/>
    <x v="2"/>
  </r>
  <r>
    <x v="1"/>
    <d v="2020-08-08T00:00:00"/>
    <n v="221"/>
    <n v="13"/>
    <x v="2"/>
  </r>
  <r>
    <x v="1"/>
    <d v="2020-08-08T00:00:00"/>
    <n v="221"/>
    <n v="11"/>
    <x v="2"/>
  </r>
  <r>
    <x v="1"/>
    <d v="2020-08-08T00:00:00"/>
    <n v="221"/>
    <n v="7"/>
    <x v="2"/>
  </r>
  <r>
    <x v="1"/>
    <d v="2020-08-08T00:00:00"/>
    <n v="221"/>
    <n v="16"/>
    <x v="3"/>
  </r>
  <r>
    <x v="1"/>
    <d v="2020-08-08T00:00:00"/>
    <n v="221"/>
    <n v="15"/>
    <x v="3"/>
  </r>
  <r>
    <x v="1"/>
    <d v="2020-08-08T00:00:00"/>
    <n v="221"/>
    <n v="12"/>
    <x v="3"/>
  </r>
  <r>
    <x v="1"/>
    <d v="2020-08-08T00:00:00"/>
    <n v="221"/>
    <n v="9"/>
    <x v="3"/>
  </r>
  <r>
    <x v="1"/>
    <d v="2020-08-08T00:00:00"/>
    <n v="221"/>
    <n v="8"/>
    <x v="3"/>
  </r>
  <r>
    <x v="1"/>
    <d v="2020-08-08T00:00:00"/>
    <n v="221"/>
    <n v="3"/>
    <x v="3"/>
  </r>
  <r>
    <x v="1"/>
    <d v="2020-08-11T00:00:00"/>
    <n v="224"/>
    <n v="14"/>
    <x v="0"/>
  </r>
  <r>
    <x v="1"/>
    <d v="2020-08-11T00:00:00"/>
    <n v="224"/>
    <n v="11"/>
    <x v="0"/>
  </r>
  <r>
    <x v="1"/>
    <d v="2020-08-11T00:00:00"/>
    <n v="224"/>
    <n v="10"/>
    <x v="0"/>
  </r>
  <r>
    <x v="1"/>
    <d v="2020-08-11T00:00:00"/>
    <n v="224"/>
    <n v="9"/>
    <x v="0"/>
  </r>
  <r>
    <x v="1"/>
    <d v="2020-08-11T00:00:00"/>
    <n v="224"/>
    <n v="2"/>
    <x v="0"/>
  </r>
  <r>
    <x v="1"/>
    <d v="2020-08-11T00:00:00"/>
    <n v="224"/>
    <n v="20"/>
    <x v="1"/>
  </r>
  <r>
    <x v="1"/>
    <d v="2020-08-11T00:00:00"/>
    <n v="224"/>
    <n v="17"/>
    <x v="1"/>
  </r>
  <r>
    <x v="1"/>
    <d v="2020-08-11T00:00:00"/>
    <n v="224"/>
    <n v="16"/>
    <x v="1"/>
  </r>
  <r>
    <x v="1"/>
    <d v="2020-08-11T00:00:00"/>
    <n v="224"/>
    <n v="13"/>
    <x v="1"/>
  </r>
  <r>
    <x v="1"/>
    <d v="2020-08-11T00:00:00"/>
    <n v="224"/>
    <n v="8"/>
    <x v="1"/>
  </r>
  <r>
    <x v="1"/>
    <d v="2020-08-11T00:00:00"/>
    <n v="224"/>
    <n v="19"/>
    <x v="2"/>
  </r>
  <r>
    <x v="1"/>
    <d v="2020-08-11T00:00:00"/>
    <n v="224"/>
    <n v="7"/>
    <x v="2"/>
  </r>
  <r>
    <x v="1"/>
    <d v="2020-08-11T00:00:00"/>
    <n v="224"/>
    <n v="5"/>
    <x v="2"/>
  </r>
  <r>
    <x v="1"/>
    <d v="2020-08-11T00:00:00"/>
    <n v="224"/>
    <n v="4"/>
    <x v="2"/>
  </r>
  <r>
    <x v="1"/>
    <d v="2020-08-11T00:00:00"/>
    <n v="224"/>
    <n v="1"/>
    <x v="2"/>
  </r>
  <r>
    <x v="1"/>
    <d v="2020-08-11T00:00:00"/>
    <n v="224"/>
    <n v="18"/>
    <x v="3"/>
  </r>
  <r>
    <x v="1"/>
    <d v="2020-08-11T00:00:00"/>
    <n v="224"/>
    <n v="15"/>
    <x v="3"/>
  </r>
  <r>
    <x v="1"/>
    <d v="2020-08-11T00:00:00"/>
    <n v="224"/>
    <n v="12"/>
    <x v="3"/>
  </r>
  <r>
    <x v="1"/>
    <d v="2020-08-11T00:00:00"/>
    <n v="224"/>
    <n v="6"/>
    <x v="3"/>
  </r>
  <r>
    <x v="1"/>
    <d v="2020-08-11T00:00:00"/>
    <n v="224"/>
    <n v="3"/>
    <x v="3"/>
  </r>
  <r>
    <x v="2"/>
    <d v="2025-08-16T00:00:00"/>
    <n v="228"/>
    <n v="3"/>
    <x v="0"/>
  </r>
  <r>
    <x v="2"/>
    <d v="2025-08-16T00:00:00"/>
    <n v="228"/>
    <n v="7"/>
    <x v="0"/>
  </r>
  <r>
    <x v="2"/>
    <d v="2025-08-16T00:00:00"/>
    <n v="228"/>
    <n v="10"/>
    <x v="0"/>
  </r>
  <r>
    <x v="2"/>
    <d v="2025-08-16T00:00:00"/>
    <n v="228"/>
    <n v="13"/>
    <x v="0"/>
  </r>
  <r>
    <x v="2"/>
    <d v="2025-08-16T00:00:00"/>
    <n v="228"/>
    <n v="19"/>
    <x v="0"/>
  </r>
  <r>
    <x v="2"/>
    <d v="2025-08-16T00:00:00"/>
    <n v="228"/>
    <n v="2"/>
    <x v="1"/>
  </r>
  <r>
    <x v="2"/>
    <d v="2025-08-16T00:00:00"/>
    <n v="228"/>
    <n v="8"/>
    <x v="1"/>
  </r>
  <r>
    <x v="2"/>
    <d v="2025-08-16T00:00:00"/>
    <n v="228"/>
    <n v="12"/>
    <x v="1"/>
  </r>
  <r>
    <x v="2"/>
    <d v="2025-08-16T00:00:00"/>
    <n v="228"/>
    <n v="14"/>
    <x v="1"/>
  </r>
  <r>
    <x v="2"/>
    <d v="2025-08-16T00:00:00"/>
    <n v="228"/>
    <n v="20"/>
    <x v="1"/>
  </r>
  <r>
    <x v="2"/>
    <d v="2025-08-16T00:00:00"/>
    <n v="228"/>
    <n v="1"/>
    <x v="2"/>
  </r>
  <r>
    <x v="2"/>
    <d v="2025-08-16T00:00:00"/>
    <n v="228"/>
    <n v="6"/>
    <x v="2"/>
  </r>
  <r>
    <x v="2"/>
    <d v="2025-08-16T00:00:00"/>
    <n v="228"/>
    <n v="9"/>
    <x v="2"/>
  </r>
  <r>
    <x v="2"/>
    <d v="2025-08-16T00:00:00"/>
    <n v="228"/>
    <n v="15"/>
    <x v="2"/>
  </r>
  <r>
    <x v="2"/>
    <d v="2025-08-16T00:00:00"/>
    <n v="228"/>
    <n v="17"/>
    <x v="2"/>
  </r>
  <r>
    <x v="2"/>
    <d v="2025-08-16T00:00:00"/>
    <n v="228"/>
    <n v="4"/>
    <x v="3"/>
  </r>
  <r>
    <x v="2"/>
    <d v="2025-08-16T00:00:00"/>
    <n v="228"/>
    <n v="5"/>
    <x v="3"/>
  </r>
  <r>
    <x v="2"/>
    <d v="2025-08-16T00:00:00"/>
    <n v="228"/>
    <n v="11"/>
    <x v="3"/>
  </r>
  <r>
    <x v="2"/>
    <d v="2025-08-16T00:00:00"/>
    <n v="228"/>
    <n v="16"/>
    <x v="3"/>
  </r>
  <r>
    <x v="2"/>
    <d v="2025-08-16T00:00:00"/>
    <n v="228"/>
    <n v="18"/>
    <x v="3"/>
  </r>
  <r>
    <x v="2"/>
    <d v="2025-08-18T00:00:00"/>
    <n v="230"/>
    <n v="3"/>
    <x v="0"/>
  </r>
  <r>
    <x v="2"/>
    <d v="2025-08-18T00:00:00"/>
    <n v="230"/>
    <n v="5"/>
    <x v="0"/>
  </r>
  <r>
    <x v="2"/>
    <d v="2025-08-18T00:00:00"/>
    <n v="230"/>
    <n v="6"/>
    <x v="0"/>
  </r>
  <r>
    <x v="2"/>
    <d v="2025-08-18T00:00:00"/>
    <n v="230"/>
    <n v="12"/>
    <x v="0"/>
  </r>
  <r>
    <x v="2"/>
    <d v="2025-08-18T00:00:00"/>
    <n v="230"/>
    <n v="14"/>
    <x v="0"/>
  </r>
  <r>
    <x v="2"/>
    <d v="2025-08-18T00:00:00"/>
    <n v="230"/>
    <n v="1"/>
    <x v="1"/>
  </r>
  <r>
    <x v="2"/>
    <d v="2025-08-18T00:00:00"/>
    <n v="230"/>
    <n v="7"/>
    <x v="1"/>
  </r>
  <r>
    <x v="2"/>
    <d v="2025-08-18T00:00:00"/>
    <n v="230"/>
    <n v="13"/>
    <x v="1"/>
  </r>
  <r>
    <x v="2"/>
    <d v="2025-08-18T00:00:00"/>
    <n v="230"/>
    <n v="16"/>
    <x v="1"/>
  </r>
  <r>
    <x v="2"/>
    <d v="2025-08-18T00:00:00"/>
    <n v="230"/>
    <n v="2"/>
    <x v="2"/>
  </r>
  <r>
    <x v="2"/>
    <d v="2025-08-18T00:00:00"/>
    <n v="230"/>
    <n v="4"/>
    <x v="2"/>
  </r>
  <r>
    <x v="2"/>
    <d v="2025-08-18T00:00:00"/>
    <n v="230"/>
    <n v="11"/>
    <x v="2"/>
  </r>
  <r>
    <x v="2"/>
    <d v="2025-08-18T00:00:00"/>
    <n v="230"/>
    <n v="17"/>
    <x v="2"/>
  </r>
  <r>
    <x v="2"/>
    <d v="2025-08-18T00:00:00"/>
    <n v="230"/>
    <n v="18"/>
    <x v="2"/>
  </r>
  <r>
    <x v="2"/>
    <d v="2025-08-18T00:00:00"/>
    <n v="230"/>
    <n v="8"/>
    <x v="3"/>
  </r>
  <r>
    <x v="2"/>
    <d v="2025-08-18T00:00:00"/>
    <n v="230"/>
    <n v="9"/>
    <x v="3"/>
  </r>
  <r>
    <x v="2"/>
    <d v="2025-08-18T00:00:00"/>
    <n v="230"/>
    <n v="10"/>
    <x v="3"/>
  </r>
  <r>
    <x v="2"/>
    <d v="2025-08-18T00:00:00"/>
    <n v="230"/>
    <n v="15"/>
    <x v="3"/>
  </r>
  <r>
    <x v="2"/>
    <d v="2025-08-18T00:00:00"/>
    <n v="230"/>
    <n v="20"/>
    <x v="3"/>
  </r>
  <r>
    <x v="2"/>
    <d v="2025-08-19T00:00:00"/>
    <n v="231"/>
    <n v="1"/>
    <x v="0"/>
  </r>
  <r>
    <x v="2"/>
    <d v="2025-08-19T00:00:00"/>
    <n v="231"/>
    <n v="4"/>
    <x v="0"/>
  </r>
  <r>
    <x v="2"/>
    <d v="2025-08-19T00:00:00"/>
    <n v="231"/>
    <n v="15"/>
    <x v="0"/>
  </r>
  <r>
    <x v="2"/>
    <d v="2025-08-19T00:00:00"/>
    <n v="231"/>
    <n v="19"/>
    <x v="0"/>
  </r>
  <r>
    <x v="2"/>
    <d v="2025-08-19T00:00:00"/>
    <n v="231"/>
    <n v="20"/>
    <x v="0"/>
  </r>
  <r>
    <x v="2"/>
    <d v="2025-08-19T00:00:00"/>
    <n v="231"/>
    <n v="7"/>
    <x v="1"/>
  </r>
  <r>
    <x v="2"/>
    <d v="2025-08-19T00:00:00"/>
    <n v="231"/>
    <n v="9"/>
    <x v="1"/>
  </r>
  <r>
    <x v="2"/>
    <d v="2025-08-19T00:00:00"/>
    <n v="231"/>
    <n v="10"/>
    <x v="1"/>
  </r>
  <r>
    <x v="2"/>
    <d v="2025-08-19T00:00:00"/>
    <n v="231"/>
    <n v="16"/>
    <x v="1"/>
  </r>
  <r>
    <x v="2"/>
    <d v="2025-08-19T00:00:00"/>
    <n v="231"/>
    <n v="21"/>
    <x v="1"/>
  </r>
  <r>
    <x v="2"/>
    <d v="2025-08-19T00:00:00"/>
    <n v="231"/>
    <n v="2"/>
    <x v="2"/>
  </r>
  <r>
    <x v="2"/>
    <d v="2025-08-19T00:00:00"/>
    <n v="231"/>
    <n v="5"/>
    <x v="2"/>
  </r>
  <r>
    <x v="2"/>
    <d v="2025-08-19T00:00:00"/>
    <n v="231"/>
    <n v="6"/>
    <x v="2"/>
  </r>
  <r>
    <x v="2"/>
    <d v="2025-08-19T00:00:00"/>
    <n v="231"/>
    <n v="8"/>
    <x v="2"/>
  </r>
  <r>
    <x v="2"/>
    <d v="2025-08-19T00:00:00"/>
    <n v="231"/>
    <n v="11"/>
    <x v="2"/>
  </r>
  <r>
    <x v="2"/>
    <d v="2025-08-19T00:00:00"/>
    <n v="231"/>
    <n v="3"/>
    <x v="3"/>
  </r>
  <r>
    <x v="2"/>
    <d v="2025-08-19T00:00:00"/>
    <n v="231"/>
    <n v="12"/>
    <x v="3"/>
  </r>
  <r>
    <x v="2"/>
    <d v="2025-08-19T00:00:00"/>
    <n v="231"/>
    <n v="14"/>
    <x v="3"/>
  </r>
  <r>
    <x v="2"/>
    <d v="2025-08-19T00:00:00"/>
    <n v="231"/>
    <n v="17"/>
    <x v="3"/>
  </r>
  <r>
    <x v="2"/>
    <d v="2025-08-19T00:00:00"/>
    <n v="231"/>
    <n v="18"/>
    <x v="3"/>
  </r>
  <r>
    <x v="2"/>
    <d v="2025-08-20T00:00:00"/>
    <n v="232"/>
    <n v="1"/>
    <x v="0"/>
  </r>
  <r>
    <x v="2"/>
    <d v="2025-08-20T00:00:00"/>
    <n v="232"/>
    <n v="6"/>
    <x v="0"/>
  </r>
  <r>
    <x v="2"/>
    <d v="2025-08-20T00:00:00"/>
    <n v="232"/>
    <n v="9"/>
    <x v="0"/>
  </r>
  <r>
    <x v="2"/>
    <d v="2025-08-20T00:00:00"/>
    <n v="232"/>
    <n v="13"/>
    <x v="0"/>
  </r>
  <r>
    <x v="2"/>
    <d v="2025-08-20T00:00:00"/>
    <n v="232"/>
    <n v="19"/>
    <x v="0"/>
  </r>
  <r>
    <x v="2"/>
    <d v="2025-08-20T00:00:00"/>
    <n v="232"/>
    <n v="2"/>
    <x v="1"/>
  </r>
  <r>
    <x v="2"/>
    <d v="2025-08-20T00:00:00"/>
    <n v="232"/>
    <n v="5"/>
    <x v="1"/>
  </r>
  <r>
    <x v="2"/>
    <d v="2025-08-20T00:00:00"/>
    <n v="232"/>
    <n v="7"/>
    <x v="1"/>
  </r>
  <r>
    <x v="2"/>
    <d v="2025-08-20T00:00:00"/>
    <n v="232"/>
    <n v="10"/>
    <x v="1"/>
  </r>
  <r>
    <x v="2"/>
    <d v="2025-08-20T00:00:00"/>
    <n v="232"/>
    <n v="12"/>
    <x v="1"/>
  </r>
  <r>
    <x v="2"/>
    <d v="2025-08-20T00:00:00"/>
    <n v="232"/>
    <n v="3"/>
    <x v="2"/>
  </r>
  <r>
    <x v="2"/>
    <d v="2025-08-20T00:00:00"/>
    <n v="232"/>
    <n v="8"/>
    <x v="2"/>
  </r>
  <r>
    <x v="2"/>
    <d v="2025-08-20T00:00:00"/>
    <n v="232"/>
    <n v="21"/>
    <x v="2"/>
  </r>
  <r>
    <x v="2"/>
    <d v="2025-08-20T00:00:00"/>
    <n v="232"/>
    <n v="4"/>
    <x v="3"/>
  </r>
  <r>
    <x v="2"/>
    <d v="2025-08-20T00:00:00"/>
    <n v="232"/>
    <n v="14"/>
    <x v="3"/>
  </r>
  <r>
    <x v="2"/>
    <d v="2025-08-20T00:00:00"/>
    <n v="232"/>
    <n v="15"/>
    <x v="3"/>
  </r>
  <r>
    <x v="2"/>
    <d v="2025-08-20T00:00:00"/>
    <n v="232"/>
    <n v="18"/>
    <x v="3"/>
  </r>
  <r>
    <x v="2"/>
    <d v="2025-08-20T00:00:00"/>
    <n v="232"/>
    <n v="20"/>
    <x v="3"/>
  </r>
  <r>
    <x v="3"/>
    <m/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d v="2015-08-03T00:00:00"/>
    <n v="215"/>
    <n v="2"/>
    <x v="0"/>
    <n v="0"/>
    <n v="1"/>
    <n v="0"/>
    <n v="0"/>
    <n v="0"/>
    <x v="0"/>
  </r>
  <r>
    <x v="0"/>
    <d v="2015-08-03T00:00:00"/>
    <n v="215"/>
    <n v="5"/>
    <x v="0"/>
    <n v="0"/>
    <n v="0"/>
    <n v="0"/>
    <n v="0"/>
    <n v="0"/>
    <x v="0"/>
  </r>
  <r>
    <x v="0"/>
    <d v="2015-08-03T00:00:00"/>
    <n v="215"/>
    <n v="8"/>
    <x v="0"/>
    <n v="1"/>
    <n v="0"/>
    <n v="0"/>
    <n v="0"/>
    <n v="0"/>
    <x v="0"/>
  </r>
  <r>
    <x v="0"/>
    <d v="2015-08-03T00:00:00"/>
    <n v="215"/>
    <n v="11"/>
    <x v="0"/>
    <n v="0"/>
    <n v="0"/>
    <n v="0"/>
    <n v="0"/>
    <n v="0"/>
    <x v="0"/>
  </r>
  <r>
    <x v="0"/>
    <d v="2015-08-03T00:00:00"/>
    <n v="215"/>
    <n v="14"/>
    <x v="0"/>
    <n v="0"/>
    <n v="0"/>
    <n v="0"/>
    <n v="0"/>
    <n v="0"/>
    <x v="0"/>
  </r>
  <r>
    <x v="0"/>
    <d v="2015-08-03T00:00:00"/>
    <n v="215"/>
    <n v="1"/>
    <x v="1"/>
    <n v="0"/>
    <n v="0"/>
    <n v="0"/>
    <n v="0"/>
    <n v="0"/>
    <x v="0"/>
  </r>
  <r>
    <x v="0"/>
    <d v="2015-08-03T00:00:00"/>
    <n v="215"/>
    <n v="4"/>
    <x v="1"/>
    <n v="0"/>
    <n v="0"/>
    <n v="0"/>
    <n v="0"/>
    <n v="0"/>
    <x v="0"/>
  </r>
  <r>
    <x v="0"/>
    <d v="2015-08-03T00:00:00"/>
    <n v="215"/>
    <n v="7"/>
    <x v="1"/>
    <n v="0"/>
    <n v="0"/>
    <n v="0"/>
    <n v="0"/>
    <n v="0"/>
    <x v="0"/>
  </r>
  <r>
    <x v="0"/>
    <d v="2015-08-03T00:00:00"/>
    <n v="215"/>
    <n v="10"/>
    <x v="1"/>
    <n v="0"/>
    <n v="0"/>
    <n v="0"/>
    <n v="0"/>
    <n v="0"/>
    <x v="0"/>
  </r>
  <r>
    <x v="0"/>
    <d v="2015-08-03T00:00:00"/>
    <n v="215"/>
    <n v="13"/>
    <x v="1"/>
    <n v="0"/>
    <n v="0"/>
    <n v="0"/>
    <n v="0"/>
    <n v="0"/>
    <x v="0"/>
  </r>
  <r>
    <x v="0"/>
    <d v="2015-08-03T00:00:00"/>
    <n v="215"/>
    <n v="3"/>
    <x v="2"/>
    <n v="0"/>
    <n v="2"/>
    <n v="0"/>
    <n v="0"/>
    <n v="0"/>
    <x v="0"/>
  </r>
  <r>
    <x v="0"/>
    <d v="2015-08-03T00:00:00"/>
    <n v="215"/>
    <n v="6"/>
    <x v="2"/>
    <n v="5"/>
    <n v="0"/>
    <n v="0"/>
    <n v="0"/>
    <n v="0"/>
    <x v="0"/>
  </r>
  <r>
    <x v="0"/>
    <d v="2015-08-03T00:00:00"/>
    <n v="215"/>
    <n v="9"/>
    <x v="2"/>
    <n v="5"/>
    <n v="0"/>
    <n v="0"/>
    <n v="0"/>
    <n v="0"/>
    <x v="0"/>
  </r>
  <r>
    <x v="0"/>
    <d v="2015-08-03T00:00:00"/>
    <n v="215"/>
    <n v="12"/>
    <x v="2"/>
    <n v="5"/>
    <n v="1"/>
    <n v="0"/>
    <n v="0"/>
    <n v="0"/>
    <x v="0"/>
  </r>
  <r>
    <x v="0"/>
    <d v="2015-08-03T00:00:00"/>
    <n v="215"/>
    <n v="15"/>
    <x v="2"/>
    <n v="3"/>
    <n v="0"/>
    <n v="0"/>
    <n v="0"/>
    <n v="0"/>
    <x v="0"/>
  </r>
  <r>
    <x v="0"/>
    <d v="2015-08-03T00:00:00"/>
    <n v="215"/>
    <n v="2"/>
    <x v="0"/>
    <n v="0"/>
    <n v="0"/>
    <n v="0"/>
    <n v="0"/>
    <n v="0"/>
    <x v="1"/>
  </r>
  <r>
    <x v="0"/>
    <d v="2015-08-03T00:00:00"/>
    <n v="215"/>
    <n v="5"/>
    <x v="0"/>
    <n v="0"/>
    <n v="0"/>
    <n v="0"/>
    <n v="0"/>
    <n v="0"/>
    <x v="1"/>
  </r>
  <r>
    <x v="0"/>
    <d v="2015-08-03T00:00:00"/>
    <n v="215"/>
    <n v="8"/>
    <x v="0"/>
    <n v="0"/>
    <n v="1"/>
    <n v="0"/>
    <n v="0"/>
    <n v="0"/>
    <x v="1"/>
  </r>
  <r>
    <x v="0"/>
    <d v="2015-08-03T00:00:00"/>
    <n v="215"/>
    <n v="11"/>
    <x v="0"/>
    <n v="1"/>
    <n v="0"/>
    <n v="0"/>
    <n v="0"/>
    <n v="0"/>
    <x v="1"/>
  </r>
  <r>
    <x v="0"/>
    <d v="2015-08-03T00:00:00"/>
    <n v="215"/>
    <n v="14"/>
    <x v="0"/>
    <n v="0"/>
    <n v="1"/>
    <n v="0"/>
    <n v="0"/>
    <n v="0"/>
    <x v="1"/>
  </r>
  <r>
    <x v="0"/>
    <d v="2015-08-03T00:00:00"/>
    <n v="215"/>
    <n v="1"/>
    <x v="1"/>
    <n v="0"/>
    <n v="0"/>
    <n v="0"/>
    <n v="0"/>
    <n v="0"/>
    <x v="1"/>
  </r>
  <r>
    <x v="0"/>
    <d v="2015-08-03T00:00:00"/>
    <n v="215"/>
    <n v="4"/>
    <x v="1"/>
    <n v="0"/>
    <n v="4"/>
    <n v="0"/>
    <n v="0"/>
    <n v="0"/>
    <x v="1"/>
  </r>
  <r>
    <x v="0"/>
    <d v="2015-08-03T00:00:00"/>
    <n v="215"/>
    <n v="7"/>
    <x v="1"/>
    <n v="0"/>
    <n v="0"/>
    <n v="0"/>
    <n v="0"/>
    <n v="0"/>
    <x v="1"/>
  </r>
  <r>
    <x v="0"/>
    <d v="2015-08-03T00:00:00"/>
    <n v="215"/>
    <n v="10"/>
    <x v="1"/>
    <n v="0"/>
    <n v="2"/>
    <n v="0"/>
    <n v="0"/>
    <n v="0"/>
    <x v="1"/>
  </r>
  <r>
    <x v="0"/>
    <d v="2015-08-03T00:00:00"/>
    <n v="215"/>
    <n v="13"/>
    <x v="1"/>
    <n v="0"/>
    <n v="1"/>
    <n v="0"/>
    <n v="0"/>
    <n v="0"/>
    <x v="1"/>
  </r>
  <r>
    <x v="0"/>
    <d v="2015-08-03T00:00:00"/>
    <n v="215"/>
    <n v="3"/>
    <x v="2"/>
    <n v="0"/>
    <n v="2"/>
    <n v="0"/>
    <n v="0"/>
    <n v="0"/>
    <x v="1"/>
  </r>
  <r>
    <x v="0"/>
    <d v="2015-08-03T00:00:00"/>
    <n v="215"/>
    <n v="6"/>
    <x v="2"/>
    <n v="0"/>
    <n v="13"/>
    <n v="0"/>
    <n v="0"/>
    <n v="0"/>
    <x v="1"/>
  </r>
  <r>
    <x v="0"/>
    <d v="2015-08-03T00:00:00"/>
    <n v="215"/>
    <n v="9"/>
    <x v="2"/>
    <n v="0"/>
    <n v="18"/>
    <n v="1"/>
    <n v="0"/>
    <n v="0"/>
    <x v="1"/>
  </r>
  <r>
    <x v="0"/>
    <d v="2015-08-03T00:00:00"/>
    <n v="215"/>
    <n v="12"/>
    <x v="2"/>
    <n v="2"/>
    <n v="3"/>
    <n v="0"/>
    <n v="0"/>
    <n v="0"/>
    <x v="1"/>
  </r>
  <r>
    <x v="0"/>
    <d v="2015-08-03T00:00:00"/>
    <n v="215"/>
    <n v="15"/>
    <x v="2"/>
    <n v="1"/>
    <n v="4"/>
    <n v="0"/>
    <n v="0"/>
    <n v="0"/>
    <x v="1"/>
  </r>
  <r>
    <x v="0"/>
    <d v="2015-08-04T00:00:00"/>
    <n v="216"/>
    <n v="2"/>
    <x v="0"/>
    <n v="0"/>
    <n v="2"/>
    <n v="0"/>
    <n v="0"/>
    <n v="0"/>
    <x v="0"/>
  </r>
  <r>
    <x v="0"/>
    <d v="2015-08-04T00:00:00"/>
    <n v="216"/>
    <n v="5"/>
    <x v="0"/>
    <n v="0"/>
    <n v="0"/>
    <n v="0"/>
    <n v="0"/>
    <n v="0"/>
    <x v="0"/>
  </r>
  <r>
    <x v="0"/>
    <d v="2015-08-04T00:00:00"/>
    <n v="216"/>
    <n v="8"/>
    <x v="0"/>
    <n v="0"/>
    <n v="1"/>
    <n v="0"/>
    <n v="0"/>
    <n v="0"/>
    <x v="0"/>
  </r>
  <r>
    <x v="0"/>
    <d v="2015-08-04T00:00:00"/>
    <n v="216"/>
    <n v="11"/>
    <x v="0"/>
    <n v="0"/>
    <n v="0"/>
    <n v="0"/>
    <n v="0"/>
    <n v="0"/>
    <x v="0"/>
  </r>
  <r>
    <x v="0"/>
    <d v="2015-08-04T00:00:00"/>
    <n v="216"/>
    <n v="14"/>
    <x v="0"/>
    <n v="0"/>
    <n v="0"/>
    <n v="0"/>
    <n v="0"/>
    <n v="0"/>
    <x v="0"/>
  </r>
  <r>
    <x v="0"/>
    <d v="2015-08-04T00:00:00"/>
    <n v="216"/>
    <n v="4"/>
    <x v="1"/>
    <n v="0"/>
    <n v="0"/>
    <n v="0"/>
    <n v="0"/>
    <n v="0"/>
    <x v="0"/>
  </r>
  <r>
    <x v="0"/>
    <d v="2015-08-04T00:00:00"/>
    <n v="216"/>
    <n v="7"/>
    <x v="1"/>
    <n v="1"/>
    <n v="1"/>
    <n v="0"/>
    <n v="0"/>
    <n v="0"/>
    <x v="0"/>
  </r>
  <r>
    <x v="0"/>
    <d v="2015-08-04T00:00:00"/>
    <n v="216"/>
    <n v="10"/>
    <x v="1"/>
    <n v="4"/>
    <n v="0"/>
    <n v="0"/>
    <n v="0"/>
    <n v="0"/>
    <x v="0"/>
  </r>
  <r>
    <x v="0"/>
    <d v="2015-08-04T00:00:00"/>
    <n v="216"/>
    <n v="13"/>
    <x v="1"/>
    <n v="1"/>
    <n v="0"/>
    <n v="0"/>
    <n v="0"/>
    <n v="0"/>
    <x v="0"/>
  </r>
  <r>
    <x v="0"/>
    <d v="2015-08-04T00:00:00"/>
    <n v="216"/>
    <n v="3"/>
    <x v="2"/>
    <n v="21"/>
    <n v="8"/>
    <n v="0"/>
    <n v="1"/>
    <n v="0"/>
    <x v="0"/>
  </r>
  <r>
    <x v="0"/>
    <d v="2015-08-04T00:00:00"/>
    <n v="216"/>
    <n v="6"/>
    <x v="2"/>
    <n v="13"/>
    <n v="1"/>
    <n v="0"/>
    <n v="0"/>
    <n v="0"/>
    <x v="0"/>
  </r>
  <r>
    <x v="0"/>
    <d v="2015-08-04T00:00:00"/>
    <n v="216"/>
    <n v="9"/>
    <x v="2"/>
    <n v="105"/>
    <n v="0"/>
    <n v="0"/>
    <n v="0"/>
    <n v="0"/>
    <x v="0"/>
  </r>
  <r>
    <x v="0"/>
    <d v="2015-08-04T00:00:00"/>
    <n v="216"/>
    <n v="12"/>
    <x v="2"/>
    <n v="17"/>
    <n v="0"/>
    <n v="0"/>
    <n v="1"/>
    <n v="0"/>
    <x v="0"/>
  </r>
  <r>
    <x v="0"/>
    <d v="2015-08-04T00:00:00"/>
    <n v="216"/>
    <n v="15"/>
    <x v="2"/>
    <n v="6"/>
    <n v="0"/>
    <n v="0"/>
    <n v="0"/>
    <n v="0"/>
    <x v="0"/>
  </r>
  <r>
    <x v="0"/>
    <d v="2015-08-05T00:00:00"/>
    <n v="217"/>
    <n v="2"/>
    <x v="0"/>
    <n v="0"/>
    <n v="0"/>
    <n v="0"/>
    <n v="0"/>
    <n v="0"/>
    <x v="1"/>
  </r>
  <r>
    <x v="0"/>
    <d v="2015-08-05T00:00:00"/>
    <n v="217"/>
    <n v="5"/>
    <x v="0"/>
    <n v="8"/>
    <n v="0"/>
    <n v="0"/>
    <n v="0"/>
    <n v="0"/>
    <x v="1"/>
  </r>
  <r>
    <x v="0"/>
    <d v="2015-08-05T00:00:00"/>
    <n v="217"/>
    <n v="8"/>
    <x v="0"/>
    <n v="0"/>
    <n v="2"/>
    <n v="0"/>
    <n v="0"/>
    <n v="0"/>
    <x v="1"/>
  </r>
  <r>
    <x v="0"/>
    <d v="2015-08-05T00:00:00"/>
    <n v="217"/>
    <n v="11"/>
    <x v="0"/>
    <n v="1"/>
    <n v="3"/>
    <n v="0"/>
    <n v="0"/>
    <n v="0"/>
    <x v="1"/>
  </r>
  <r>
    <x v="0"/>
    <d v="2015-08-05T00:00:00"/>
    <n v="217"/>
    <n v="14"/>
    <x v="0"/>
    <n v="1"/>
    <n v="4"/>
    <n v="0"/>
    <n v="0"/>
    <n v="0"/>
    <x v="1"/>
  </r>
  <r>
    <x v="0"/>
    <d v="2015-08-05T00:00:00"/>
    <n v="217"/>
    <n v="4"/>
    <x v="1"/>
    <n v="0"/>
    <n v="0"/>
    <n v="0"/>
    <n v="0"/>
    <n v="0"/>
    <x v="1"/>
  </r>
  <r>
    <x v="0"/>
    <d v="2015-08-05T00:00:00"/>
    <n v="217"/>
    <n v="7"/>
    <x v="1"/>
    <n v="1"/>
    <n v="0"/>
    <n v="0"/>
    <n v="0"/>
    <n v="0"/>
    <x v="1"/>
  </r>
  <r>
    <x v="0"/>
    <d v="2015-08-05T00:00:00"/>
    <n v="217"/>
    <n v="10"/>
    <x v="1"/>
    <n v="0"/>
    <n v="2"/>
    <n v="0"/>
    <n v="0"/>
    <n v="0"/>
    <x v="1"/>
  </r>
  <r>
    <x v="0"/>
    <d v="2015-08-05T00:00:00"/>
    <n v="217"/>
    <n v="13"/>
    <x v="1"/>
    <n v="1"/>
    <n v="2"/>
    <n v="0"/>
    <n v="0"/>
    <n v="0"/>
    <x v="1"/>
  </r>
  <r>
    <x v="0"/>
    <d v="2015-08-05T00:00:00"/>
    <n v="217"/>
    <n v="3"/>
    <x v="2"/>
    <n v="10"/>
    <n v="3"/>
    <n v="0"/>
    <n v="0"/>
    <n v="0"/>
    <x v="1"/>
  </r>
  <r>
    <x v="0"/>
    <d v="2015-08-05T00:00:00"/>
    <n v="217"/>
    <n v="6"/>
    <x v="2"/>
    <n v="15"/>
    <n v="1"/>
    <n v="0"/>
    <n v="0"/>
    <n v="0"/>
    <x v="1"/>
  </r>
  <r>
    <x v="0"/>
    <d v="2015-08-05T00:00:00"/>
    <n v="217"/>
    <n v="9"/>
    <x v="2"/>
    <n v="11"/>
    <n v="0"/>
    <n v="0"/>
    <n v="0"/>
    <n v="0"/>
    <x v="1"/>
  </r>
  <r>
    <x v="0"/>
    <d v="2015-08-05T00:00:00"/>
    <n v="217"/>
    <n v="12"/>
    <x v="2"/>
    <n v="40"/>
    <n v="2"/>
    <n v="0"/>
    <n v="0"/>
    <n v="0"/>
    <x v="1"/>
  </r>
  <r>
    <x v="0"/>
    <d v="2015-08-05T00:00:00"/>
    <n v="217"/>
    <n v="15"/>
    <x v="2"/>
    <n v="19"/>
    <n v="9"/>
    <n v="0"/>
    <n v="0"/>
    <n v="0"/>
    <x v="1"/>
  </r>
  <r>
    <x v="0"/>
    <d v="2015-08-06T00:00:00"/>
    <n v="218"/>
    <n v="2"/>
    <x v="0"/>
    <n v="0"/>
    <n v="0"/>
    <n v="0"/>
    <n v="0"/>
    <n v="0"/>
    <x v="0"/>
  </r>
  <r>
    <x v="0"/>
    <d v="2015-08-06T00:00:00"/>
    <n v="218"/>
    <n v="5"/>
    <x v="0"/>
    <n v="0"/>
    <n v="0"/>
    <n v="0"/>
    <n v="0"/>
    <n v="0"/>
    <x v="0"/>
  </r>
  <r>
    <x v="0"/>
    <d v="2015-08-06T00:00:00"/>
    <n v="218"/>
    <n v="8"/>
    <x v="0"/>
    <n v="4"/>
    <n v="0"/>
    <n v="0"/>
    <n v="0"/>
    <n v="0"/>
    <x v="0"/>
  </r>
  <r>
    <x v="0"/>
    <d v="2015-08-06T00:00:00"/>
    <n v="218"/>
    <n v="11"/>
    <x v="0"/>
    <n v="11"/>
    <n v="0"/>
    <n v="0"/>
    <n v="0"/>
    <n v="0"/>
    <x v="0"/>
  </r>
  <r>
    <x v="0"/>
    <d v="2015-08-06T00:00:00"/>
    <n v="218"/>
    <n v="14"/>
    <x v="0"/>
    <n v="1"/>
    <n v="0"/>
    <n v="0"/>
    <n v="0"/>
    <n v="0"/>
    <x v="0"/>
  </r>
  <r>
    <x v="0"/>
    <d v="2015-08-06T00:00:00"/>
    <n v="218"/>
    <n v="4"/>
    <x v="1"/>
    <n v="0"/>
    <n v="2"/>
    <n v="0"/>
    <n v="0"/>
    <n v="0"/>
    <x v="0"/>
  </r>
  <r>
    <x v="0"/>
    <d v="2015-08-06T00:00:00"/>
    <n v="218"/>
    <n v="7"/>
    <x v="1"/>
    <n v="4"/>
    <n v="0"/>
    <n v="0"/>
    <n v="0"/>
    <n v="0"/>
    <x v="0"/>
  </r>
  <r>
    <x v="0"/>
    <d v="2015-08-06T00:00:00"/>
    <n v="218"/>
    <n v="10"/>
    <x v="1"/>
    <n v="3"/>
    <n v="0"/>
    <n v="0"/>
    <n v="0"/>
    <n v="0"/>
    <x v="0"/>
  </r>
  <r>
    <x v="0"/>
    <d v="2015-08-06T00:00:00"/>
    <n v="218"/>
    <n v="13"/>
    <x v="1"/>
    <n v="0"/>
    <n v="0"/>
    <n v="0"/>
    <n v="0"/>
    <n v="0"/>
    <x v="0"/>
  </r>
  <r>
    <x v="0"/>
    <d v="2015-08-06T00:00:00"/>
    <n v="218"/>
    <n v="3"/>
    <x v="2"/>
    <n v="5"/>
    <n v="0"/>
    <n v="0"/>
    <n v="0"/>
    <n v="0"/>
    <x v="0"/>
  </r>
  <r>
    <x v="0"/>
    <d v="2015-08-06T00:00:00"/>
    <n v="218"/>
    <n v="6"/>
    <x v="2"/>
    <n v="6"/>
    <n v="0"/>
    <n v="0"/>
    <n v="0"/>
    <n v="0"/>
    <x v="0"/>
  </r>
  <r>
    <x v="0"/>
    <d v="2015-08-06T00:00:00"/>
    <n v="218"/>
    <n v="9"/>
    <x v="2"/>
    <n v="73"/>
    <n v="0"/>
    <n v="0"/>
    <n v="0"/>
    <n v="0"/>
    <x v="0"/>
  </r>
  <r>
    <x v="0"/>
    <d v="2015-08-06T00:00:00"/>
    <n v="218"/>
    <n v="12"/>
    <x v="2"/>
    <n v="19"/>
    <n v="1"/>
    <n v="0"/>
    <n v="1"/>
    <n v="0"/>
    <x v="0"/>
  </r>
  <r>
    <x v="0"/>
    <d v="2015-08-06T00:00:00"/>
    <n v="218"/>
    <n v="15"/>
    <x v="2"/>
    <n v="6"/>
    <n v="0"/>
    <n v="0"/>
    <n v="0"/>
    <n v="0"/>
    <x v="0"/>
  </r>
  <r>
    <x v="0"/>
    <d v="2015-08-07T00:00:00"/>
    <n v="219"/>
    <n v="2"/>
    <x v="0"/>
    <n v="0"/>
    <n v="7"/>
    <n v="0"/>
    <n v="0"/>
    <n v="0"/>
    <x v="1"/>
  </r>
  <r>
    <x v="0"/>
    <d v="2015-08-07T00:00:00"/>
    <n v="219"/>
    <n v="5"/>
    <x v="0"/>
    <n v="1"/>
    <n v="0"/>
    <n v="0"/>
    <n v="0"/>
    <n v="0"/>
    <x v="1"/>
  </r>
  <r>
    <x v="0"/>
    <d v="2015-08-07T00:00:00"/>
    <n v="219"/>
    <n v="8"/>
    <x v="0"/>
    <n v="0"/>
    <n v="4"/>
    <n v="0"/>
    <n v="0"/>
    <n v="0"/>
    <x v="1"/>
  </r>
  <r>
    <x v="0"/>
    <d v="2015-08-07T00:00:00"/>
    <n v="219"/>
    <n v="11"/>
    <x v="0"/>
    <n v="0"/>
    <n v="0"/>
    <n v="0"/>
    <n v="0"/>
    <n v="0"/>
    <x v="1"/>
  </r>
  <r>
    <x v="0"/>
    <d v="2015-08-07T00:00:00"/>
    <n v="219"/>
    <n v="14"/>
    <x v="0"/>
    <n v="0"/>
    <n v="2"/>
    <n v="1"/>
    <n v="0"/>
    <n v="0"/>
    <x v="1"/>
  </r>
  <r>
    <x v="0"/>
    <d v="2015-08-07T00:00:00"/>
    <n v="219"/>
    <n v="1"/>
    <x v="1"/>
    <n v="2"/>
    <n v="0"/>
    <n v="0"/>
    <n v="0"/>
    <n v="0"/>
    <x v="1"/>
  </r>
  <r>
    <x v="0"/>
    <d v="2015-08-07T00:00:00"/>
    <n v="219"/>
    <n v="4"/>
    <x v="1"/>
    <n v="0"/>
    <n v="3"/>
    <n v="0"/>
    <n v="0"/>
    <n v="0"/>
    <x v="1"/>
  </r>
  <r>
    <x v="0"/>
    <d v="2015-08-07T00:00:00"/>
    <n v="219"/>
    <n v="7"/>
    <x v="1"/>
    <n v="1"/>
    <n v="0"/>
    <n v="0"/>
    <n v="0"/>
    <n v="0"/>
    <x v="1"/>
  </r>
  <r>
    <x v="0"/>
    <d v="2015-08-07T00:00:00"/>
    <n v="219"/>
    <n v="10"/>
    <x v="1"/>
    <n v="1"/>
    <n v="4"/>
    <n v="0"/>
    <n v="0"/>
    <n v="0"/>
    <x v="1"/>
  </r>
  <r>
    <x v="0"/>
    <d v="2015-08-07T00:00:00"/>
    <n v="219"/>
    <n v="13"/>
    <x v="1"/>
    <n v="1"/>
    <n v="2"/>
    <n v="0"/>
    <n v="0"/>
    <n v="0"/>
    <x v="1"/>
  </r>
  <r>
    <x v="0"/>
    <d v="2015-08-07T00:00:00"/>
    <n v="219"/>
    <n v="3"/>
    <x v="2"/>
    <n v="7"/>
    <n v="0"/>
    <n v="0"/>
    <n v="0"/>
    <n v="0"/>
    <x v="1"/>
  </r>
  <r>
    <x v="0"/>
    <d v="2015-08-07T00:00:00"/>
    <n v="219"/>
    <n v="6"/>
    <x v="2"/>
    <n v="1"/>
    <n v="0"/>
    <n v="0"/>
    <n v="0"/>
    <n v="0"/>
    <x v="1"/>
  </r>
  <r>
    <x v="0"/>
    <d v="2015-08-07T00:00:00"/>
    <n v="219"/>
    <n v="9"/>
    <x v="2"/>
    <n v="8"/>
    <n v="0"/>
    <n v="0"/>
    <n v="0"/>
    <n v="0"/>
    <x v="1"/>
  </r>
  <r>
    <x v="0"/>
    <d v="2015-08-07T00:00:00"/>
    <n v="219"/>
    <n v="12"/>
    <x v="2"/>
    <n v="6"/>
    <n v="1"/>
    <n v="0"/>
    <n v="0"/>
    <n v="0"/>
    <x v="1"/>
  </r>
  <r>
    <x v="0"/>
    <d v="2015-08-07T00:00:00"/>
    <n v="219"/>
    <n v="15"/>
    <x v="2"/>
    <n v="2"/>
    <n v="3"/>
    <n v="0"/>
    <n v="0"/>
    <n v="0"/>
    <x v="1"/>
  </r>
  <r>
    <x v="0"/>
    <d v="2015-08-09T00:00:00"/>
    <n v="221"/>
    <n v="15"/>
    <x v="2"/>
    <n v="1"/>
    <n v="1"/>
    <n v="0"/>
    <n v="0"/>
    <n v="0"/>
    <x v="0"/>
  </r>
  <r>
    <x v="0"/>
    <d v="2015-08-09T00:00:00"/>
    <n v="221"/>
    <n v="2"/>
    <x v="0"/>
    <n v="0"/>
    <n v="4"/>
    <n v="0"/>
    <n v="1"/>
    <n v="0"/>
    <x v="0"/>
  </r>
  <r>
    <x v="0"/>
    <d v="2015-08-09T00:00:00"/>
    <n v="221"/>
    <n v="5"/>
    <x v="0"/>
    <n v="1"/>
    <n v="0"/>
    <n v="0"/>
    <n v="0"/>
    <n v="0"/>
    <x v="0"/>
  </r>
  <r>
    <x v="0"/>
    <d v="2015-08-09T00:00:00"/>
    <n v="221"/>
    <n v="8"/>
    <x v="0"/>
    <n v="3"/>
    <n v="1"/>
    <n v="0"/>
    <n v="0"/>
    <n v="0"/>
    <x v="0"/>
  </r>
  <r>
    <x v="0"/>
    <d v="2015-08-09T00:00:00"/>
    <n v="221"/>
    <n v="11"/>
    <x v="0"/>
    <n v="1"/>
    <n v="0"/>
    <n v="0"/>
    <n v="0"/>
    <n v="0"/>
    <x v="0"/>
  </r>
  <r>
    <x v="0"/>
    <d v="2015-08-09T00:00:00"/>
    <n v="221"/>
    <n v="14"/>
    <x v="0"/>
    <n v="0"/>
    <n v="3"/>
    <n v="0"/>
    <n v="0"/>
    <n v="0"/>
    <x v="0"/>
  </r>
  <r>
    <x v="0"/>
    <d v="2015-08-09T00:00:00"/>
    <n v="221"/>
    <n v="1"/>
    <x v="1"/>
    <n v="2"/>
    <n v="3"/>
    <n v="0"/>
    <n v="0"/>
    <n v="0"/>
    <x v="0"/>
  </r>
  <r>
    <x v="0"/>
    <d v="2015-08-09T00:00:00"/>
    <n v="221"/>
    <n v="4"/>
    <x v="1"/>
    <n v="1"/>
    <n v="3"/>
    <n v="0"/>
    <n v="0"/>
    <n v="0"/>
    <x v="0"/>
  </r>
  <r>
    <x v="0"/>
    <d v="2015-08-09T00:00:00"/>
    <n v="221"/>
    <n v="7"/>
    <x v="1"/>
    <n v="7"/>
    <n v="0"/>
    <n v="0"/>
    <n v="0"/>
    <n v="0"/>
    <x v="0"/>
  </r>
  <r>
    <x v="0"/>
    <d v="2015-08-09T00:00:00"/>
    <n v="221"/>
    <n v="10"/>
    <x v="1"/>
    <n v="64"/>
    <n v="0"/>
    <n v="0"/>
    <n v="0"/>
    <n v="0"/>
    <x v="0"/>
  </r>
  <r>
    <x v="0"/>
    <d v="2015-08-09T00:00:00"/>
    <n v="221"/>
    <n v="13"/>
    <x v="1"/>
    <n v="4"/>
    <n v="1"/>
    <n v="0"/>
    <n v="0"/>
    <n v="0"/>
    <x v="0"/>
  </r>
  <r>
    <x v="0"/>
    <d v="2015-08-09T00:00:00"/>
    <n v="221"/>
    <n v="3"/>
    <x v="2"/>
    <n v="0"/>
    <n v="0"/>
    <n v="0"/>
    <n v="0"/>
    <n v="0"/>
    <x v="0"/>
  </r>
  <r>
    <x v="0"/>
    <d v="2015-08-09T00:00:00"/>
    <n v="221"/>
    <n v="6"/>
    <x v="2"/>
    <n v="4"/>
    <n v="0"/>
    <n v="0"/>
    <n v="0"/>
    <n v="0"/>
    <x v="0"/>
  </r>
  <r>
    <x v="0"/>
    <d v="2015-08-09T00:00:00"/>
    <n v="221"/>
    <n v="9"/>
    <x v="2"/>
    <n v="8"/>
    <n v="0"/>
    <n v="0"/>
    <n v="0"/>
    <n v="0"/>
    <x v="0"/>
  </r>
  <r>
    <x v="0"/>
    <d v="2015-08-09T00:00:00"/>
    <n v="221"/>
    <n v="12"/>
    <x v="2"/>
    <n v="8"/>
    <n v="3"/>
    <n v="0"/>
    <n v="0"/>
    <n v="0"/>
    <x v="0"/>
  </r>
  <r>
    <x v="1"/>
    <d v="2020-08-04T00:00:00"/>
    <n v="217"/>
    <n v="2"/>
    <x v="0"/>
    <n v="1"/>
    <n v="16"/>
    <n v="0"/>
    <n v="0"/>
    <n v="0"/>
    <x v="1"/>
  </r>
  <r>
    <x v="1"/>
    <d v="2020-08-04T00:00:00"/>
    <n v="217"/>
    <n v="4"/>
    <x v="0"/>
    <n v="3"/>
    <n v="1"/>
    <n v="0"/>
    <n v="0"/>
    <n v="0"/>
    <x v="1"/>
  </r>
  <r>
    <x v="1"/>
    <d v="2020-08-04T00:00:00"/>
    <n v="217"/>
    <n v="15"/>
    <x v="0"/>
    <n v="1"/>
    <n v="10"/>
    <n v="0"/>
    <n v="0"/>
    <n v="0"/>
    <x v="1"/>
  </r>
  <r>
    <x v="1"/>
    <d v="2020-08-04T00:00:00"/>
    <n v="217"/>
    <n v="17"/>
    <x v="0"/>
    <n v="4"/>
    <n v="8"/>
    <n v="0"/>
    <n v="0"/>
    <n v="0"/>
    <x v="1"/>
  </r>
  <r>
    <x v="1"/>
    <d v="2020-08-04T00:00:00"/>
    <n v="217"/>
    <n v="18"/>
    <x v="0"/>
    <n v="2"/>
    <n v="13"/>
    <n v="0"/>
    <n v="0"/>
    <n v="0"/>
    <x v="1"/>
  </r>
  <r>
    <x v="1"/>
    <d v="2020-08-04T00:00:00"/>
    <n v="217"/>
    <n v="1"/>
    <x v="1"/>
    <n v="2"/>
    <n v="10"/>
    <n v="0"/>
    <n v="0"/>
    <n v="0"/>
    <x v="1"/>
  </r>
  <r>
    <x v="1"/>
    <d v="2020-08-04T00:00:00"/>
    <n v="217"/>
    <n v="10"/>
    <x v="1"/>
    <n v="0"/>
    <n v="8"/>
    <n v="0"/>
    <n v="0"/>
    <n v="0"/>
    <x v="1"/>
  </r>
  <r>
    <x v="1"/>
    <d v="2020-08-04T00:00:00"/>
    <n v="217"/>
    <n v="11"/>
    <x v="1"/>
    <n v="0"/>
    <n v="0"/>
    <n v="0"/>
    <n v="0"/>
    <n v="0"/>
    <x v="1"/>
  </r>
  <r>
    <x v="1"/>
    <d v="2020-08-04T00:00:00"/>
    <n v="217"/>
    <n v="12"/>
    <x v="1"/>
    <n v="1"/>
    <n v="3"/>
    <n v="0"/>
    <n v="0"/>
    <n v="0"/>
    <x v="1"/>
  </r>
  <r>
    <x v="1"/>
    <d v="2020-08-04T00:00:00"/>
    <n v="217"/>
    <n v="19"/>
    <x v="1"/>
    <n v="0"/>
    <n v="1"/>
    <n v="0"/>
    <n v="0"/>
    <n v="0"/>
    <x v="1"/>
  </r>
  <r>
    <x v="1"/>
    <d v="2020-08-04T00:00:00"/>
    <n v="217"/>
    <n v="6"/>
    <x v="2"/>
    <n v="73"/>
    <n v="43"/>
    <n v="0"/>
    <n v="1"/>
    <n v="0"/>
    <x v="1"/>
  </r>
  <r>
    <x v="1"/>
    <d v="2020-08-04T00:00:00"/>
    <n v="217"/>
    <n v="7"/>
    <x v="2"/>
    <n v="69"/>
    <n v="8"/>
    <n v="0"/>
    <n v="0"/>
    <n v="0"/>
    <x v="1"/>
  </r>
  <r>
    <x v="1"/>
    <d v="2020-08-04T00:00:00"/>
    <n v="217"/>
    <n v="8"/>
    <x v="2"/>
    <n v="9"/>
    <n v="25"/>
    <n v="0"/>
    <n v="0"/>
    <n v="0"/>
    <x v="1"/>
  </r>
  <r>
    <x v="1"/>
    <d v="2020-08-04T00:00:00"/>
    <n v="217"/>
    <n v="16"/>
    <x v="2"/>
    <n v="42"/>
    <n v="8"/>
    <n v="0"/>
    <n v="0"/>
    <n v="0"/>
    <x v="1"/>
  </r>
  <r>
    <x v="1"/>
    <d v="2020-08-04T00:00:00"/>
    <n v="217"/>
    <n v="20"/>
    <x v="2"/>
    <n v="142"/>
    <n v="17"/>
    <n v="0"/>
    <n v="0"/>
    <n v="0"/>
    <x v="1"/>
  </r>
  <r>
    <x v="1"/>
    <d v="2020-08-04T00:00:00"/>
    <n v="217"/>
    <n v="3"/>
    <x v="3"/>
    <n v="6"/>
    <n v="9"/>
    <n v="0"/>
    <n v="0"/>
    <n v="0"/>
    <x v="1"/>
  </r>
  <r>
    <x v="1"/>
    <d v="2020-08-04T00:00:00"/>
    <n v="217"/>
    <n v="5"/>
    <x v="3"/>
    <n v="2"/>
    <n v="1"/>
    <n v="0"/>
    <n v="0"/>
    <n v="0"/>
    <x v="1"/>
  </r>
  <r>
    <x v="1"/>
    <d v="2020-08-04T00:00:00"/>
    <n v="217"/>
    <n v="9"/>
    <x v="3"/>
    <n v="3"/>
    <n v="8"/>
    <n v="0"/>
    <n v="0"/>
    <n v="0"/>
    <x v="1"/>
  </r>
  <r>
    <x v="1"/>
    <d v="2020-08-04T00:00:00"/>
    <n v="217"/>
    <n v="13"/>
    <x v="3"/>
    <n v="0"/>
    <n v="2"/>
    <n v="0"/>
    <n v="0"/>
    <n v="0"/>
    <x v="1"/>
  </r>
  <r>
    <x v="1"/>
    <d v="2020-08-04T00:00:00"/>
    <n v="217"/>
    <n v="14"/>
    <x v="3"/>
    <n v="9"/>
    <n v="2"/>
    <n v="0"/>
    <n v="0"/>
    <n v="0"/>
    <x v="1"/>
  </r>
  <r>
    <x v="1"/>
    <d v="2020-08-05T00:00:00"/>
    <n v="218"/>
    <n v="19"/>
    <x v="0"/>
    <n v="1"/>
    <n v="0"/>
    <n v="0"/>
    <n v="0"/>
    <n v="0"/>
    <x v="1"/>
  </r>
  <r>
    <x v="1"/>
    <d v="2020-08-05T00:00:00"/>
    <n v="218"/>
    <n v="18"/>
    <x v="0"/>
    <n v="0"/>
    <n v="0"/>
    <n v="0"/>
    <n v="0"/>
    <n v="0"/>
    <x v="1"/>
  </r>
  <r>
    <x v="1"/>
    <d v="2020-08-05T00:00:00"/>
    <n v="218"/>
    <n v="16"/>
    <x v="0"/>
    <n v="0"/>
    <n v="0"/>
    <n v="0"/>
    <n v="0"/>
    <n v="0"/>
    <x v="1"/>
  </r>
  <r>
    <x v="1"/>
    <d v="2020-08-05T00:00:00"/>
    <n v="218"/>
    <n v="14"/>
    <x v="0"/>
    <n v="0"/>
    <n v="0"/>
    <n v="0"/>
    <n v="0"/>
    <n v="0"/>
    <x v="1"/>
  </r>
  <r>
    <x v="1"/>
    <d v="2020-08-05T00:00:00"/>
    <n v="218"/>
    <n v="13"/>
    <x v="0"/>
    <n v="0"/>
    <n v="0"/>
    <n v="0"/>
    <n v="0"/>
    <n v="0"/>
    <x v="1"/>
  </r>
  <r>
    <x v="1"/>
    <d v="2020-08-05T00:00:00"/>
    <n v="218"/>
    <n v="17"/>
    <x v="1"/>
    <n v="0"/>
    <n v="0"/>
    <n v="0"/>
    <n v="0"/>
    <n v="0"/>
    <x v="1"/>
  </r>
  <r>
    <x v="1"/>
    <d v="2020-08-05T00:00:00"/>
    <n v="218"/>
    <n v="15"/>
    <x v="1"/>
    <n v="0"/>
    <n v="0"/>
    <n v="0"/>
    <n v="0"/>
    <n v="0"/>
    <x v="1"/>
  </r>
  <r>
    <x v="1"/>
    <d v="2020-08-05T00:00:00"/>
    <n v="218"/>
    <n v="7"/>
    <x v="1"/>
    <n v="0"/>
    <n v="1"/>
    <n v="0"/>
    <n v="0"/>
    <n v="0"/>
    <x v="1"/>
  </r>
  <r>
    <x v="1"/>
    <d v="2020-08-05T00:00:00"/>
    <n v="218"/>
    <n v="6"/>
    <x v="1"/>
    <n v="0"/>
    <n v="0"/>
    <n v="0"/>
    <n v="0"/>
    <n v="0"/>
    <x v="1"/>
  </r>
  <r>
    <x v="1"/>
    <d v="2020-08-05T00:00:00"/>
    <n v="218"/>
    <n v="1"/>
    <x v="1"/>
    <n v="1"/>
    <n v="0"/>
    <n v="0"/>
    <n v="0"/>
    <n v="0"/>
    <x v="1"/>
  </r>
  <r>
    <x v="1"/>
    <d v="2020-08-05T00:00:00"/>
    <n v="218"/>
    <n v="20"/>
    <x v="2"/>
    <n v="5"/>
    <n v="2"/>
    <n v="0"/>
    <n v="0"/>
    <n v="0"/>
    <x v="1"/>
  </r>
  <r>
    <x v="1"/>
    <d v="2020-08-05T00:00:00"/>
    <n v="218"/>
    <n v="12"/>
    <x v="2"/>
    <n v="15"/>
    <n v="0"/>
    <n v="0"/>
    <n v="0"/>
    <n v="0"/>
    <x v="1"/>
  </r>
  <r>
    <x v="1"/>
    <d v="2020-08-05T00:00:00"/>
    <n v="218"/>
    <n v="11"/>
    <x v="2"/>
    <n v="52"/>
    <n v="0"/>
    <n v="0"/>
    <n v="0"/>
    <n v="0"/>
    <x v="1"/>
  </r>
  <r>
    <x v="1"/>
    <d v="2020-08-05T00:00:00"/>
    <n v="218"/>
    <n v="3"/>
    <x v="2"/>
    <n v="37"/>
    <n v="0"/>
    <n v="0"/>
    <n v="0"/>
    <n v="0"/>
    <x v="1"/>
  </r>
  <r>
    <x v="1"/>
    <d v="2020-08-05T00:00:00"/>
    <n v="218"/>
    <n v="2"/>
    <x v="2"/>
    <n v="58"/>
    <n v="5"/>
    <n v="0"/>
    <n v="0"/>
    <n v="0"/>
    <x v="1"/>
  </r>
  <r>
    <x v="1"/>
    <d v="2020-08-05T00:00:00"/>
    <n v="218"/>
    <n v="10"/>
    <x v="3"/>
    <n v="3"/>
    <n v="2"/>
    <n v="0"/>
    <n v="0"/>
    <n v="0"/>
    <x v="1"/>
  </r>
  <r>
    <x v="1"/>
    <d v="2020-08-05T00:00:00"/>
    <n v="218"/>
    <n v="9"/>
    <x v="3"/>
    <n v="0"/>
    <n v="0"/>
    <n v="0"/>
    <n v="0"/>
    <n v="0"/>
    <x v="1"/>
  </r>
  <r>
    <x v="1"/>
    <d v="2020-08-05T00:00:00"/>
    <n v="218"/>
    <n v="8"/>
    <x v="3"/>
    <n v="0"/>
    <n v="0"/>
    <n v="0"/>
    <n v="0"/>
    <n v="0"/>
    <x v="1"/>
  </r>
  <r>
    <x v="1"/>
    <d v="2020-08-05T00:00:00"/>
    <n v="218"/>
    <n v="5"/>
    <x v="3"/>
    <n v="4"/>
    <n v="0"/>
    <n v="0"/>
    <n v="0"/>
    <n v="0"/>
    <x v="1"/>
  </r>
  <r>
    <x v="1"/>
    <d v="2020-08-05T00:00:00"/>
    <n v="218"/>
    <n v="4"/>
    <x v="3"/>
    <n v="0"/>
    <n v="0"/>
    <n v="0"/>
    <n v="0"/>
    <n v="0"/>
    <x v="1"/>
  </r>
  <r>
    <x v="1"/>
    <d v="2020-08-06T00:00:00"/>
    <n v="219"/>
    <n v="20"/>
    <x v="0"/>
    <n v="7"/>
    <n v="1"/>
    <n v="0"/>
    <n v="0"/>
    <n v="0"/>
    <x v="1"/>
  </r>
  <r>
    <x v="1"/>
    <d v="2020-08-06T00:00:00"/>
    <n v="219"/>
    <n v="10"/>
    <x v="0"/>
    <n v="6"/>
    <n v="3"/>
    <n v="0"/>
    <n v="0"/>
    <n v="0"/>
    <x v="1"/>
  </r>
  <r>
    <x v="1"/>
    <d v="2020-08-06T00:00:00"/>
    <n v="219"/>
    <n v="9"/>
    <x v="0"/>
    <n v="1"/>
    <n v="2"/>
    <n v="0"/>
    <n v="0"/>
    <n v="0"/>
    <x v="1"/>
  </r>
  <r>
    <x v="1"/>
    <d v="2020-08-06T00:00:00"/>
    <n v="219"/>
    <n v="6"/>
    <x v="0"/>
    <n v="8"/>
    <n v="6"/>
    <n v="0"/>
    <n v="0"/>
    <n v="0"/>
    <x v="1"/>
  </r>
  <r>
    <x v="1"/>
    <d v="2020-08-06T00:00:00"/>
    <n v="219"/>
    <n v="1"/>
    <x v="0"/>
    <n v="3"/>
    <n v="3"/>
    <n v="0"/>
    <n v="0"/>
    <n v="0"/>
    <x v="1"/>
  </r>
  <r>
    <x v="1"/>
    <d v="2020-08-06T00:00:00"/>
    <n v="219"/>
    <n v="18"/>
    <x v="1"/>
    <n v="1"/>
    <n v="1"/>
    <n v="0"/>
    <n v="0"/>
    <n v="0"/>
    <x v="1"/>
  </r>
  <r>
    <x v="1"/>
    <d v="2020-08-06T00:00:00"/>
    <n v="219"/>
    <n v="14"/>
    <x v="1"/>
    <n v="0"/>
    <n v="1"/>
    <n v="0"/>
    <n v="0"/>
    <n v="0"/>
    <x v="1"/>
  </r>
  <r>
    <x v="1"/>
    <d v="2020-08-06T00:00:00"/>
    <n v="219"/>
    <n v="5"/>
    <x v="1"/>
    <n v="1"/>
    <n v="1"/>
    <n v="0"/>
    <n v="0"/>
    <n v="0"/>
    <x v="1"/>
  </r>
  <r>
    <x v="1"/>
    <d v="2020-08-06T00:00:00"/>
    <n v="219"/>
    <n v="4"/>
    <x v="1"/>
    <n v="4"/>
    <n v="0"/>
    <n v="0"/>
    <n v="0"/>
    <n v="0"/>
    <x v="1"/>
  </r>
  <r>
    <x v="1"/>
    <d v="2020-08-06T00:00:00"/>
    <n v="219"/>
    <n v="3"/>
    <x v="1"/>
    <n v="3"/>
    <n v="2"/>
    <n v="0"/>
    <n v="0"/>
    <n v="0"/>
    <x v="1"/>
  </r>
  <r>
    <x v="1"/>
    <d v="2020-08-06T00:00:00"/>
    <n v="219"/>
    <n v="19"/>
    <x v="2"/>
    <n v="8"/>
    <n v="18"/>
    <n v="0"/>
    <n v="0"/>
    <n v="0"/>
    <x v="1"/>
  </r>
  <r>
    <x v="1"/>
    <d v="2020-08-06T00:00:00"/>
    <n v="219"/>
    <n v="15"/>
    <x v="2"/>
    <n v="30"/>
    <n v="10"/>
    <n v="0"/>
    <n v="0"/>
    <n v="0"/>
    <x v="1"/>
  </r>
  <r>
    <x v="1"/>
    <d v="2020-08-06T00:00:00"/>
    <n v="219"/>
    <n v="11"/>
    <x v="2"/>
    <n v="105"/>
    <n v="3"/>
    <n v="0"/>
    <n v="0"/>
    <n v="0"/>
    <x v="1"/>
  </r>
  <r>
    <x v="1"/>
    <d v="2020-08-06T00:00:00"/>
    <n v="219"/>
    <n v="8"/>
    <x v="2"/>
    <n v="28"/>
    <n v="3"/>
    <n v="0"/>
    <n v="0"/>
    <n v="0"/>
    <x v="1"/>
  </r>
  <r>
    <x v="1"/>
    <d v="2020-08-06T00:00:00"/>
    <n v="219"/>
    <n v="7"/>
    <x v="2"/>
    <n v="14"/>
    <n v="27"/>
    <n v="0"/>
    <n v="0"/>
    <n v="0"/>
    <x v="1"/>
  </r>
  <r>
    <x v="1"/>
    <d v="2020-08-06T00:00:00"/>
    <n v="219"/>
    <n v="17"/>
    <x v="3"/>
    <n v="6"/>
    <n v="0"/>
    <n v="0"/>
    <n v="0"/>
    <n v="0"/>
    <x v="1"/>
  </r>
  <r>
    <x v="1"/>
    <d v="2020-08-06T00:00:00"/>
    <n v="219"/>
    <n v="16"/>
    <x v="3"/>
    <n v="6"/>
    <n v="1"/>
    <n v="0"/>
    <n v="0"/>
    <n v="0"/>
    <x v="1"/>
  </r>
  <r>
    <x v="1"/>
    <d v="2020-08-06T00:00:00"/>
    <n v="219"/>
    <n v="13"/>
    <x v="3"/>
    <n v="5"/>
    <n v="2"/>
    <n v="0"/>
    <n v="0"/>
    <n v="0"/>
    <x v="1"/>
  </r>
  <r>
    <x v="1"/>
    <d v="2020-08-06T00:00:00"/>
    <n v="219"/>
    <n v="12"/>
    <x v="3"/>
    <n v="1"/>
    <n v="4"/>
    <n v="0"/>
    <n v="0"/>
    <n v="0"/>
    <x v="1"/>
  </r>
  <r>
    <x v="1"/>
    <d v="2020-08-06T00:00:00"/>
    <n v="219"/>
    <n v="2"/>
    <x v="3"/>
    <n v="7"/>
    <n v="7"/>
    <n v="0"/>
    <n v="0"/>
    <n v="0"/>
    <x v="1"/>
  </r>
  <r>
    <x v="1"/>
    <d v="2020-08-07T00:00:00"/>
    <n v="220"/>
    <n v="16"/>
    <x v="0"/>
    <n v="10"/>
    <n v="0"/>
    <n v="0"/>
    <n v="0"/>
    <n v="0"/>
    <x v="1"/>
  </r>
  <r>
    <x v="1"/>
    <d v="2020-08-07T00:00:00"/>
    <n v="220"/>
    <n v="9"/>
    <x v="0"/>
    <n v="12"/>
    <n v="1"/>
    <n v="0"/>
    <n v="0"/>
    <n v="0"/>
    <x v="1"/>
  </r>
  <r>
    <x v="1"/>
    <d v="2020-08-07T00:00:00"/>
    <n v="220"/>
    <n v="5"/>
    <x v="0"/>
    <n v="8"/>
    <n v="1"/>
    <n v="0"/>
    <n v="0"/>
    <n v="0"/>
    <x v="1"/>
  </r>
  <r>
    <x v="1"/>
    <d v="2020-08-07T00:00:00"/>
    <n v="220"/>
    <n v="3"/>
    <x v="0"/>
    <n v="4"/>
    <n v="0"/>
    <n v="0"/>
    <n v="0"/>
    <n v="0"/>
    <x v="1"/>
  </r>
  <r>
    <x v="1"/>
    <d v="2020-08-07T00:00:00"/>
    <n v="220"/>
    <n v="2"/>
    <x v="0"/>
    <n v="6"/>
    <n v="3"/>
    <n v="0"/>
    <n v="0"/>
    <n v="0"/>
    <x v="1"/>
  </r>
  <r>
    <x v="1"/>
    <d v="2020-08-07T00:00:00"/>
    <n v="220"/>
    <n v="19"/>
    <x v="1"/>
    <n v="2"/>
    <n v="0"/>
    <n v="0"/>
    <n v="0"/>
    <n v="0"/>
    <x v="1"/>
  </r>
  <r>
    <x v="1"/>
    <d v="2020-08-07T00:00:00"/>
    <n v="220"/>
    <n v="17"/>
    <x v="1"/>
    <n v="3"/>
    <n v="1"/>
    <n v="0"/>
    <n v="0"/>
    <n v="0"/>
    <x v="1"/>
  </r>
  <r>
    <x v="1"/>
    <d v="2020-08-07T00:00:00"/>
    <n v="220"/>
    <n v="15"/>
    <x v="1"/>
    <n v="1"/>
    <n v="0"/>
    <n v="0"/>
    <n v="0"/>
    <n v="0"/>
    <x v="1"/>
  </r>
  <r>
    <x v="1"/>
    <d v="2020-08-07T00:00:00"/>
    <n v="220"/>
    <n v="13"/>
    <x v="1"/>
    <n v="1"/>
    <n v="5"/>
    <n v="0"/>
    <n v="0"/>
    <n v="0"/>
    <x v="1"/>
  </r>
  <r>
    <x v="1"/>
    <d v="2020-08-07T00:00:00"/>
    <n v="220"/>
    <n v="8"/>
    <x v="1"/>
    <n v="3"/>
    <n v="2"/>
    <n v="0"/>
    <n v="0"/>
    <n v="0"/>
    <x v="1"/>
  </r>
  <r>
    <x v="1"/>
    <d v="2020-08-07T00:00:00"/>
    <n v="220"/>
    <n v="20"/>
    <x v="2"/>
    <n v="20"/>
    <n v="0"/>
    <n v="0"/>
    <n v="0"/>
    <n v="0"/>
    <x v="1"/>
  </r>
  <r>
    <x v="1"/>
    <d v="2020-08-07T00:00:00"/>
    <n v="220"/>
    <n v="18"/>
    <x v="2"/>
    <n v="0"/>
    <n v="0"/>
    <n v="0"/>
    <n v="0"/>
    <n v="0"/>
    <x v="1"/>
  </r>
  <r>
    <x v="1"/>
    <d v="2020-08-07T00:00:00"/>
    <n v="220"/>
    <n v="14"/>
    <x v="2"/>
    <n v="9"/>
    <n v="1"/>
    <n v="0"/>
    <n v="0"/>
    <n v="0"/>
    <x v="1"/>
  </r>
  <r>
    <x v="1"/>
    <d v="2020-08-07T00:00:00"/>
    <n v="220"/>
    <n v="7"/>
    <x v="2"/>
    <n v="7"/>
    <n v="1"/>
    <n v="0"/>
    <n v="0"/>
    <n v="0"/>
    <x v="1"/>
  </r>
  <r>
    <x v="1"/>
    <d v="2020-08-07T00:00:00"/>
    <n v="220"/>
    <n v="6"/>
    <x v="2"/>
    <n v="11"/>
    <n v="0"/>
    <n v="0"/>
    <n v="0"/>
    <n v="0"/>
    <x v="1"/>
  </r>
  <r>
    <x v="1"/>
    <d v="2020-08-07T00:00:00"/>
    <n v="220"/>
    <n v="12"/>
    <x v="3"/>
    <n v="9"/>
    <n v="2"/>
    <n v="0"/>
    <n v="0"/>
    <n v="0"/>
    <x v="1"/>
  </r>
  <r>
    <x v="1"/>
    <d v="2020-08-07T00:00:00"/>
    <n v="220"/>
    <n v="11"/>
    <x v="3"/>
    <n v="36"/>
    <n v="6"/>
    <n v="0"/>
    <n v="0"/>
    <n v="0"/>
    <x v="1"/>
  </r>
  <r>
    <x v="1"/>
    <d v="2020-08-07T00:00:00"/>
    <n v="220"/>
    <n v="10"/>
    <x v="3"/>
    <n v="12"/>
    <n v="6"/>
    <n v="0"/>
    <n v="0"/>
    <n v="0"/>
    <x v="1"/>
  </r>
  <r>
    <x v="1"/>
    <d v="2020-08-07T00:00:00"/>
    <n v="220"/>
    <n v="4"/>
    <x v="3"/>
    <n v="6"/>
    <n v="8"/>
    <n v="0"/>
    <n v="0"/>
    <n v="0"/>
    <x v="1"/>
  </r>
  <r>
    <x v="1"/>
    <d v="2020-08-07T00:00:00"/>
    <n v="220"/>
    <n v="1"/>
    <x v="3"/>
    <n v="1"/>
    <n v="3"/>
    <n v="0"/>
    <n v="0"/>
    <n v="0"/>
    <x v="1"/>
  </r>
  <r>
    <x v="1"/>
    <d v="2020-08-08T00:00:00"/>
    <n v="221"/>
    <n v="20"/>
    <x v="0"/>
    <n v="10"/>
    <n v="1"/>
    <n v="0"/>
    <n v="0"/>
    <n v="0"/>
    <x v="1"/>
  </r>
  <r>
    <x v="1"/>
    <d v="2020-08-08T00:00:00"/>
    <n v="221"/>
    <n v="10"/>
    <x v="0"/>
    <n v="6"/>
    <n v="2"/>
    <n v="0"/>
    <n v="0"/>
    <n v="0"/>
    <x v="1"/>
  </r>
  <r>
    <x v="1"/>
    <d v="2020-08-08T00:00:00"/>
    <n v="221"/>
    <n v="5"/>
    <x v="0"/>
    <n v="2"/>
    <n v="3"/>
    <n v="0"/>
    <n v="0"/>
    <n v="0"/>
    <x v="1"/>
  </r>
  <r>
    <x v="1"/>
    <d v="2020-08-08T00:00:00"/>
    <n v="221"/>
    <n v="4"/>
    <x v="0"/>
    <n v="4"/>
    <n v="1"/>
    <n v="0"/>
    <n v="0"/>
    <n v="0"/>
    <x v="1"/>
  </r>
  <r>
    <x v="1"/>
    <d v="2020-08-08T00:00:00"/>
    <n v="221"/>
    <n v="2"/>
    <x v="0"/>
    <n v="0"/>
    <n v="0"/>
    <n v="0"/>
    <n v="0"/>
    <n v="0"/>
    <x v="1"/>
  </r>
  <r>
    <x v="1"/>
    <d v="2020-08-08T00:00:00"/>
    <n v="221"/>
    <n v="18"/>
    <x v="1"/>
    <n v="5"/>
    <n v="0"/>
    <n v="0"/>
    <n v="0"/>
    <n v="0"/>
    <x v="1"/>
  </r>
  <r>
    <x v="1"/>
    <d v="2020-08-08T00:00:00"/>
    <n v="221"/>
    <n v="17"/>
    <x v="1"/>
    <n v="1"/>
    <n v="22"/>
    <n v="0"/>
    <n v="0"/>
    <n v="0"/>
    <x v="1"/>
  </r>
  <r>
    <x v="1"/>
    <d v="2020-08-08T00:00:00"/>
    <n v="221"/>
    <n v="14"/>
    <x v="1"/>
    <n v="4"/>
    <n v="0"/>
    <n v="0"/>
    <n v="0"/>
    <n v="0"/>
    <x v="1"/>
  </r>
  <r>
    <x v="1"/>
    <d v="2020-08-08T00:00:00"/>
    <n v="221"/>
    <n v="6"/>
    <x v="1"/>
    <n v="0"/>
    <n v="1"/>
    <n v="0"/>
    <n v="0"/>
    <n v="0"/>
    <x v="1"/>
  </r>
  <r>
    <x v="1"/>
    <d v="2020-08-08T00:00:00"/>
    <n v="221"/>
    <n v="1"/>
    <x v="1"/>
    <n v="1"/>
    <n v="0"/>
    <n v="0"/>
    <n v="0"/>
    <n v="0"/>
    <x v="1"/>
  </r>
  <r>
    <x v="1"/>
    <d v="2020-08-08T00:00:00"/>
    <n v="221"/>
    <n v="19"/>
    <x v="2"/>
    <n v="86"/>
    <n v="4"/>
    <n v="0"/>
    <n v="0"/>
    <n v="0"/>
    <x v="1"/>
  </r>
  <r>
    <x v="1"/>
    <d v="2020-08-08T00:00:00"/>
    <n v="221"/>
    <n v="13"/>
    <x v="2"/>
    <n v="40"/>
    <n v="14"/>
    <n v="0"/>
    <n v="0"/>
    <n v="0"/>
    <x v="1"/>
  </r>
  <r>
    <x v="1"/>
    <d v="2020-08-08T00:00:00"/>
    <n v="221"/>
    <n v="11"/>
    <x v="2"/>
    <n v="17"/>
    <n v="7"/>
    <n v="0"/>
    <n v="0"/>
    <n v="0"/>
    <x v="1"/>
  </r>
  <r>
    <x v="1"/>
    <d v="2020-08-08T00:00:00"/>
    <n v="221"/>
    <n v="7"/>
    <x v="2"/>
    <n v="31"/>
    <n v="8"/>
    <n v="0"/>
    <n v="0"/>
    <n v="1"/>
    <x v="1"/>
  </r>
  <r>
    <x v="1"/>
    <d v="2020-08-08T00:00:00"/>
    <n v="221"/>
    <n v="16"/>
    <x v="3"/>
    <n v="5"/>
    <n v="30"/>
    <n v="0"/>
    <n v="0"/>
    <n v="0"/>
    <x v="1"/>
  </r>
  <r>
    <x v="1"/>
    <d v="2020-08-08T00:00:00"/>
    <n v="221"/>
    <n v="15"/>
    <x v="3"/>
    <n v="31"/>
    <n v="15"/>
    <n v="0"/>
    <n v="0"/>
    <n v="0"/>
    <x v="1"/>
  </r>
  <r>
    <x v="1"/>
    <d v="2020-08-08T00:00:00"/>
    <n v="221"/>
    <n v="12"/>
    <x v="3"/>
    <n v="12"/>
    <n v="7"/>
    <n v="0"/>
    <n v="0"/>
    <n v="0"/>
    <x v="1"/>
  </r>
  <r>
    <x v="1"/>
    <d v="2020-08-08T00:00:00"/>
    <n v="221"/>
    <n v="9"/>
    <x v="3"/>
    <n v="6"/>
    <n v="0"/>
    <n v="0"/>
    <n v="0"/>
    <n v="0"/>
    <x v="1"/>
  </r>
  <r>
    <x v="1"/>
    <d v="2020-08-08T00:00:00"/>
    <n v="221"/>
    <n v="8"/>
    <x v="3"/>
    <n v="3"/>
    <n v="2"/>
    <n v="0"/>
    <n v="0"/>
    <n v="0"/>
    <x v="1"/>
  </r>
  <r>
    <x v="1"/>
    <d v="2020-08-08T00:00:00"/>
    <n v="221"/>
    <n v="3"/>
    <x v="3"/>
    <n v="16"/>
    <n v="3"/>
    <n v="0"/>
    <n v="0"/>
    <n v="0"/>
    <x v="1"/>
  </r>
  <r>
    <x v="1"/>
    <d v="2020-08-11T00:00:00"/>
    <n v="224"/>
    <n v="14"/>
    <x v="0"/>
    <n v="0"/>
    <n v="1"/>
    <n v="0"/>
    <n v="0"/>
    <n v="0"/>
    <x v="1"/>
  </r>
  <r>
    <x v="1"/>
    <d v="2020-08-11T00:00:00"/>
    <n v="224"/>
    <n v="11"/>
    <x v="0"/>
    <n v="3"/>
    <n v="52"/>
    <n v="0"/>
    <n v="0"/>
    <n v="0"/>
    <x v="1"/>
  </r>
  <r>
    <x v="1"/>
    <d v="2020-08-11T00:00:00"/>
    <n v="224"/>
    <n v="10"/>
    <x v="0"/>
    <n v="2"/>
    <n v="6"/>
    <n v="0"/>
    <n v="0"/>
    <n v="0"/>
    <x v="1"/>
  </r>
  <r>
    <x v="1"/>
    <d v="2020-08-11T00:00:00"/>
    <n v="224"/>
    <n v="9"/>
    <x v="0"/>
    <n v="4"/>
    <n v="15"/>
    <n v="0"/>
    <n v="0"/>
    <n v="0"/>
    <x v="1"/>
  </r>
  <r>
    <x v="1"/>
    <d v="2020-08-11T00:00:00"/>
    <n v="224"/>
    <n v="2"/>
    <x v="0"/>
    <n v="4"/>
    <n v="2"/>
    <n v="0"/>
    <n v="0"/>
    <n v="0"/>
    <x v="1"/>
  </r>
  <r>
    <x v="1"/>
    <d v="2020-08-11T00:00:00"/>
    <n v="224"/>
    <n v="20"/>
    <x v="1"/>
    <n v="1"/>
    <n v="0"/>
    <n v="0"/>
    <n v="0"/>
    <n v="0"/>
    <x v="1"/>
  </r>
  <r>
    <x v="1"/>
    <d v="2020-08-11T00:00:00"/>
    <n v="224"/>
    <n v="17"/>
    <x v="1"/>
    <n v="3"/>
    <n v="4"/>
    <n v="0"/>
    <n v="0"/>
    <n v="0"/>
    <x v="1"/>
  </r>
  <r>
    <x v="1"/>
    <d v="2020-08-11T00:00:00"/>
    <n v="224"/>
    <n v="16"/>
    <x v="1"/>
    <n v="1"/>
    <n v="0"/>
    <n v="0"/>
    <n v="0"/>
    <n v="0"/>
    <x v="1"/>
  </r>
  <r>
    <x v="1"/>
    <d v="2020-08-11T00:00:00"/>
    <n v="224"/>
    <n v="13"/>
    <x v="1"/>
    <n v="0"/>
    <n v="1"/>
    <n v="0"/>
    <n v="0"/>
    <n v="0"/>
    <x v="1"/>
  </r>
  <r>
    <x v="1"/>
    <d v="2020-08-11T00:00:00"/>
    <n v="224"/>
    <n v="8"/>
    <x v="1"/>
    <n v="5"/>
    <n v="10"/>
    <n v="1"/>
    <n v="0"/>
    <n v="0"/>
    <x v="1"/>
  </r>
  <r>
    <x v="1"/>
    <d v="2020-08-11T00:00:00"/>
    <n v="224"/>
    <n v="19"/>
    <x v="2"/>
    <n v="14"/>
    <n v="1"/>
    <n v="0"/>
    <n v="0"/>
    <n v="0"/>
    <x v="1"/>
  </r>
  <r>
    <x v="1"/>
    <d v="2020-08-11T00:00:00"/>
    <n v="224"/>
    <n v="7"/>
    <x v="2"/>
    <n v="78"/>
    <n v="12"/>
    <n v="0"/>
    <n v="0"/>
    <n v="0"/>
    <x v="1"/>
  </r>
  <r>
    <x v="1"/>
    <d v="2020-08-11T00:00:00"/>
    <n v="224"/>
    <n v="5"/>
    <x v="2"/>
    <n v="71"/>
    <n v="7"/>
    <n v="0"/>
    <n v="0"/>
    <n v="0"/>
    <x v="1"/>
  </r>
  <r>
    <x v="1"/>
    <d v="2020-08-11T00:00:00"/>
    <n v="224"/>
    <n v="4"/>
    <x v="2"/>
    <n v="17"/>
    <n v="3"/>
    <n v="0"/>
    <n v="0"/>
    <n v="0"/>
    <x v="1"/>
  </r>
  <r>
    <x v="1"/>
    <d v="2020-08-11T00:00:00"/>
    <n v="224"/>
    <n v="1"/>
    <x v="2"/>
    <n v="64"/>
    <n v="1"/>
    <n v="0"/>
    <n v="0"/>
    <n v="0"/>
    <x v="1"/>
  </r>
  <r>
    <x v="1"/>
    <d v="2020-08-11T00:00:00"/>
    <n v="224"/>
    <n v="18"/>
    <x v="3"/>
    <n v="4"/>
    <n v="0"/>
    <n v="0"/>
    <n v="0"/>
    <n v="0"/>
    <x v="1"/>
  </r>
  <r>
    <x v="1"/>
    <d v="2020-08-11T00:00:00"/>
    <n v="224"/>
    <n v="15"/>
    <x v="3"/>
    <n v="4"/>
    <n v="0"/>
    <n v="0"/>
    <n v="0"/>
    <n v="0"/>
    <x v="1"/>
  </r>
  <r>
    <x v="1"/>
    <d v="2020-08-11T00:00:00"/>
    <n v="224"/>
    <n v="12"/>
    <x v="3"/>
    <n v="10"/>
    <n v="16"/>
    <n v="0"/>
    <n v="0"/>
    <n v="0"/>
    <x v="1"/>
  </r>
  <r>
    <x v="1"/>
    <d v="2020-08-11T00:00:00"/>
    <n v="224"/>
    <n v="6"/>
    <x v="3"/>
    <n v="6"/>
    <n v="2"/>
    <n v="0"/>
    <n v="0"/>
    <n v="0"/>
    <x v="1"/>
  </r>
  <r>
    <x v="1"/>
    <d v="2020-08-11T00:00:00"/>
    <n v="224"/>
    <n v="3"/>
    <x v="3"/>
    <n v="3"/>
    <n v="4"/>
    <n v="0"/>
    <n v="0"/>
    <n v="0"/>
    <x v="1"/>
  </r>
  <r>
    <x v="2"/>
    <d v="2025-08-16T00:00:00"/>
    <n v="228"/>
    <n v="3"/>
    <x v="0"/>
    <n v="0"/>
    <n v="0"/>
    <n v="0"/>
    <n v="0"/>
    <n v="0"/>
    <x v="1"/>
  </r>
  <r>
    <x v="2"/>
    <d v="2025-08-16T00:00:00"/>
    <n v="228"/>
    <n v="7"/>
    <x v="0"/>
    <n v="0"/>
    <n v="1"/>
    <n v="0"/>
    <n v="0"/>
    <n v="0"/>
    <x v="1"/>
  </r>
  <r>
    <x v="2"/>
    <d v="2025-08-16T00:00:00"/>
    <n v="228"/>
    <n v="10"/>
    <x v="0"/>
    <n v="2"/>
    <n v="0"/>
    <n v="0"/>
    <n v="0"/>
    <n v="0"/>
    <x v="1"/>
  </r>
  <r>
    <x v="2"/>
    <d v="2025-08-16T00:00:00"/>
    <n v="228"/>
    <n v="13"/>
    <x v="0"/>
    <n v="0"/>
    <n v="0"/>
    <n v="0"/>
    <n v="0"/>
    <n v="0"/>
    <x v="1"/>
  </r>
  <r>
    <x v="2"/>
    <d v="2025-08-16T00:00:00"/>
    <n v="228"/>
    <n v="19"/>
    <x v="0"/>
    <n v="0"/>
    <n v="0"/>
    <n v="0"/>
    <n v="0"/>
    <n v="0"/>
    <x v="1"/>
  </r>
  <r>
    <x v="2"/>
    <d v="2025-08-16T00:00:00"/>
    <n v="228"/>
    <n v="2"/>
    <x v="1"/>
    <n v="1"/>
    <n v="3"/>
    <n v="0"/>
    <n v="0"/>
    <n v="0"/>
    <x v="1"/>
  </r>
  <r>
    <x v="2"/>
    <d v="2025-08-16T00:00:00"/>
    <n v="228"/>
    <n v="8"/>
    <x v="1"/>
    <n v="0"/>
    <n v="0"/>
    <n v="0"/>
    <n v="0"/>
    <n v="0"/>
    <x v="1"/>
  </r>
  <r>
    <x v="2"/>
    <d v="2025-08-16T00:00:00"/>
    <n v="228"/>
    <n v="12"/>
    <x v="1"/>
    <n v="0"/>
    <n v="0"/>
    <n v="0"/>
    <n v="0"/>
    <n v="0"/>
    <x v="1"/>
  </r>
  <r>
    <x v="2"/>
    <d v="2025-08-16T00:00:00"/>
    <n v="228"/>
    <n v="14"/>
    <x v="1"/>
    <n v="0"/>
    <n v="0"/>
    <n v="0"/>
    <n v="0"/>
    <n v="0"/>
    <x v="1"/>
  </r>
  <r>
    <x v="2"/>
    <d v="2025-08-16T00:00:00"/>
    <n v="228"/>
    <n v="20"/>
    <x v="1"/>
    <n v="0"/>
    <n v="0"/>
    <n v="0"/>
    <n v="0"/>
    <n v="0"/>
    <x v="1"/>
  </r>
  <r>
    <x v="2"/>
    <d v="2025-08-16T00:00:00"/>
    <n v="228"/>
    <n v="1"/>
    <x v="2"/>
    <n v="61"/>
    <n v="0"/>
    <n v="0"/>
    <n v="0"/>
    <n v="0"/>
    <x v="1"/>
  </r>
  <r>
    <x v="2"/>
    <d v="2025-08-16T00:00:00"/>
    <n v="228"/>
    <n v="6"/>
    <x v="2"/>
    <n v="4"/>
    <n v="0"/>
    <n v="0"/>
    <n v="0"/>
    <n v="0"/>
    <x v="1"/>
  </r>
  <r>
    <x v="2"/>
    <d v="2025-08-16T00:00:00"/>
    <n v="228"/>
    <n v="9"/>
    <x v="2"/>
    <n v="6"/>
    <n v="0"/>
    <n v="0"/>
    <n v="0"/>
    <n v="0"/>
    <x v="1"/>
  </r>
  <r>
    <x v="2"/>
    <d v="2025-08-16T00:00:00"/>
    <n v="228"/>
    <n v="15"/>
    <x v="2"/>
    <n v="10"/>
    <n v="3"/>
    <n v="0"/>
    <n v="0"/>
    <n v="0"/>
    <x v="1"/>
  </r>
  <r>
    <x v="2"/>
    <d v="2025-08-16T00:00:00"/>
    <n v="228"/>
    <n v="17"/>
    <x v="2"/>
    <n v="10"/>
    <n v="2"/>
    <n v="0"/>
    <n v="0"/>
    <n v="0"/>
    <x v="1"/>
  </r>
  <r>
    <x v="2"/>
    <d v="2025-08-16T00:00:00"/>
    <n v="228"/>
    <n v="4"/>
    <x v="3"/>
    <n v="2"/>
    <n v="0"/>
    <n v="0"/>
    <n v="0"/>
    <n v="0"/>
    <x v="1"/>
  </r>
  <r>
    <x v="2"/>
    <d v="2025-08-16T00:00:00"/>
    <n v="228"/>
    <n v="5"/>
    <x v="3"/>
    <n v="2"/>
    <n v="0"/>
    <n v="0"/>
    <n v="0"/>
    <n v="0"/>
    <x v="1"/>
  </r>
  <r>
    <x v="2"/>
    <d v="2025-08-16T00:00:00"/>
    <n v="228"/>
    <n v="11"/>
    <x v="3"/>
    <n v="1"/>
    <n v="0"/>
    <n v="0"/>
    <n v="0"/>
    <n v="0"/>
    <x v="1"/>
  </r>
  <r>
    <x v="2"/>
    <d v="2025-08-16T00:00:00"/>
    <n v="228"/>
    <n v="16"/>
    <x v="3"/>
    <n v="0"/>
    <n v="0"/>
    <n v="0"/>
    <n v="0"/>
    <n v="0"/>
    <x v="1"/>
  </r>
  <r>
    <x v="2"/>
    <d v="2025-08-16T00:00:00"/>
    <n v="228"/>
    <n v="18"/>
    <x v="3"/>
    <n v="0"/>
    <n v="0"/>
    <n v="0"/>
    <n v="0"/>
    <n v="0"/>
    <x v="1"/>
  </r>
  <r>
    <x v="2"/>
    <d v="2025-08-18T00:00:00"/>
    <n v="230"/>
    <n v="3"/>
    <x v="0"/>
    <n v="0"/>
    <n v="0"/>
    <n v="0"/>
    <n v="0"/>
    <n v="0"/>
    <x v="1"/>
  </r>
  <r>
    <x v="2"/>
    <d v="2025-08-18T00:00:00"/>
    <n v="230"/>
    <n v="5"/>
    <x v="0"/>
    <n v="1"/>
    <n v="0"/>
    <n v="0"/>
    <n v="0"/>
    <n v="0"/>
    <x v="1"/>
  </r>
  <r>
    <x v="2"/>
    <d v="2025-08-18T00:00:00"/>
    <n v="230"/>
    <n v="6"/>
    <x v="0"/>
    <n v="1"/>
    <n v="4"/>
    <n v="0"/>
    <n v="0"/>
    <n v="0"/>
    <x v="1"/>
  </r>
  <r>
    <x v="2"/>
    <d v="2025-08-18T00:00:00"/>
    <n v="230"/>
    <n v="12"/>
    <x v="0"/>
    <n v="0"/>
    <n v="2"/>
    <n v="0"/>
    <n v="0"/>
    <n v="0"/>
    <x v="1"/>
  </r>
  <r>
    <x v="2"/>
    <d v="2025-08-18T00:00:00"/>
    <n v="230"/>
    <n v="14"/>
    <x v="0"/>
    <n v="0"/>
    <n v="16"/>
    <n v="0"/>
    <n v="0"/>
    <n v="0"/>
    <x v="1"/>
  </r>
  <r>
    <x v="2"/>
    <d v="2025-08-18T00:00:00"/>
    <n v="230"/>
    <n v="1"/>
    <x v="1"/>
    <n v="0"/>
    <n v="0"/>
    <n v="0"/>
    <n v="0"/>
    <n v="0"/>
    <x v="1"/>
  </r>
  <r>
    <x v="2"/>
    <d v="2025-08-18T00:00:00"/>
    <n v="230"/>
    <n v="7"/>
    <x v="1"/>
    <n v="0"/>
    <n v="0"/>
    <n v="0"/>
    <n v="0"/>
    <n v="0"/>
    <x v="1"/>
  </r>
  <r>
    <x v="2"/>
    <d v="2025-08-18T00:00:00"/>
    <n v="230"/>
    <n v="13"/>
    <x v="1"/>
    <n v="0"/>
    <n v="9"/>
    <n v="0"/>
    <n v="0"/>
    <n v="0"/>
    <x v="1"/>
  </r>
  <r>
    <x v="2"/>
    <d v="2025-08-18T00:00:00"/>
    <n v="230"/>
    <n v="16"/>
    <x v="1"/>
    <n v="0"/>
    <n v="0"/>
    <n v="0"/>
    <n v="0"/>
    <n v="0"/>
    <x v="1"/>
  </r>
  <r>
    <x v="2"/>
    <d v="2025-08-18T00:00:00"/>
    <n v="230"/>
    <n v="2"/>
    <x v="2"/>
    <n v="0"/>
    <n v="0"/>
    <n v="0"/>
    <n v="0"/>
    <n v="0"/>
    <x v="1"/>
  </r>
  <r>
    <x v="2"/>
    <d v="2025-08-18T00:00:00"/>
    <n v="230"/>
    <n v="4"/>
    <x v="2"/>
    <n v="0"/>
    <n v="0"/>
    <n v="0"/>
    <n v="0"/>
    <n v="0"/>
    <x v="1"/>
  </r>
  <r>
    <x v="2"/>
    <d v="2025-08-18T00:00:00"/>
    <n v="230"/>
    <n v="11"/>
    <x v="2"/>
    <n v="2"/>
    <n v="3"/>
    <n v="0"/>
    <n v="0"/>
    <n v="0"/>
    <x v="1"/>
  </r>
  <r>
    <x v="2"/>
    <d v="2025-08-18T00:00:00"/>
    <n v="230"/>
    <n v="17"/>
    <x v="2"/>
    <n v="6"/>
    <n v="0"/>
    <n v="0"/>
    <n v="0"/>
    <n v="0"/>
    <x v="1"/>
  </r>
  <r>
    <x v="2"/>
    <d v="2025-08-18T00:00:00"/>
    <n v="230"/>
    <n v="18"/>
    <x v="2"/>
    <n v="2"/>
    <n v="0"/>
    <n v="0"/>
    <n v="0"/>
    <n v="0"/>
    <x v="1"/>
  </r>
  <r>
    <x v="2"/>
    <d v="2025-08-18T00:00:00"/>
    <n v="230"/>
    <n v="8"/>
    <x v="3"/>
    <n v="1"/>
    <n v="3"/>
    <n v="0"/>
    <n v="0"/>
    <n v="0"/>
    <x v="1"/>
  </r>
  <r>
    <x v="2"/>
    <d v="2025-08-18T00:00:00"/>
    <n v="230"/>
    <n v="9"/>
    <x v="3"/>
    <n v="2"/>
    <n v="0"/>
    <n v="0"/>
    <n v="0"/>
    <n v="0"/>
    <x v="1"/>
  </r>
  <r>
    <x v="2"/>
    <d v="2025-08-18T00:00:00"/>
    <n v="230"/>
    <n v="10"/>
    <x v="3"/>
    <n v="0"/>
    <n v="0"/>
    <n v="0"/>
    <n v="0"/>
    <n v="0"/>
    <x v="1"/>
  </r>
  <r>
    <x v="2"/>
    <d v="2025-08-18T00:00:00"/>
    <n v="230"/>
    <n v="15"/>
    <x v="3"/>
    <n v="0"/>
    <n v="3"/>
    <n v="0"/>
    <n v="0"/>
    <n v="0"/>
    <x v="1"/>
  </r>
  <r>
    <x v="2"/>
    <d v="2025-08-18T00:00:00"/>
    <n v="230"/>
    <n v="20"/>
    <x v="3"/>
    <n v="0"/>
    <n v="0"/>
    <n v="0"/>
    <n v="0"/>
    <n v="0"/>
    <x v="1"/>
  </r>
  <r>
    <x v="2"/>
    <d v="2025-08-19T00:00:00"/>
    <n v="231"/>
    <n v="1"/>
    <x v="0"/>
    <n v="0"/>
    <n v="1"/>
    <n v="0"/>
    <n v="0"/>
    <n v="0"/>
    <x v="1"/>
  </r>
  <r>
    <x v="2"/>
    <d v="2025-08-19T00:00:00"/>
    <n v="231"/>
    <n v="4"/>
    <x v="0"/>
    <n v="2"/>
    <n v="1"/>
    <n v="0"/>
    <n v="0"/>
    <n v="0"/>
    <x v="1"/>
  </r>
  <r>
    <x v="2"/>
    <d v="2025-08-19T00:00:00"/>
    <n v="231"/>
    <n v="15"/>
    <x v="0"/>
    <n v="1"/>
    <n v="0"/>
    <n v="0"/>
    <n v="0"/>
    <n v="0"/>
    <x v="1"/>
  </r>
  <r>
    <x v="2"/>
    <d v="2025-08-19T00:00:00"/>
    <n v="231"/>
    <n v="19"/>
    <x v="0"/>
    <n v="0"/>
    <n v="0"/>
    <n v="0"/>
    <n v="0"/>
    <n v="0"/>
    <x v="1"/>
  </r>
  <r>
    <x v="2"/>
    <d v="2025-08-19T00:00:00"/>
    <n v="231"/>
    <n v="20"/>
    <x v="0"/>
    <n v="0"/>
    <n v="0"/>
    <n v="0"/>
    <n v="0"/>
    <n v="0"/>
    <x v="1"/>
  </r>
  <r>
    <x v="2"/>
    <d v="2025-08-19T00:00:00"/>
    <n v="231"/>
    <n v="7"/>
    <x v="1"/>
    <n v="1"/>
    <n v="1"/>
    <n v="0"/>
    <n v="0"/>
    <n v="0"/>
    <x v="1"/>
  </r>
  <r>
    <x v="2"/>
    <d v="2025-08-19T00:00:00"/>
    <n v="231"/>
    <n v="9"/>
    <x v="1"/>
    <n v="0"/>
    <n v="0"/>
    <n v="0"/>
    <n v="0"/>
    <n v="0"/>
    <x v="1"/>
  </r>
  <r>
    <x v="2"/>
    <d v="2025-08-19T00:00:00"/>
    <n v="231"/>
    <n v="10"/>
    <x v="1"/>
    <n v="0"/>
    <n v="1"/>
    <n v="0"/>
    <n v="0"/>
    <n v="0"/>
    <x v="1"/>
  </r>
  <r>
    <x v="2"/>
    <d v="2025-08-19T00:00:00"/>
    <n v="231"/>
    <n v="16"/>
    <x v="1"/>
    <n v="2"/>
    <n v="1"/>
    <n v="0"/>
    <n v="0"/>
    <n v="0"/>
    <x v="1"/>
  </r>
  <r>
    <x v="2"/>
    <d v="2025-08-19T00:00:00"/>
    <n v="231"/>
    <n v="21"/>
    <x v="1"/>
    <n v="0"/>
    <n v="0"/>
    <n v="0"/>
    <n v="0"/>
    <n v="0"/>
    <x v="1"/>
  </r>
  <r>
    <x v="2"/>
    <d v="2025-08-19T00:00:00"/>
    <n v="231"/>
    <n v="2"/>
    <x v="2"/>
    <n v="28"/>
    <n v="0"/>
    <n v="0"/>
    <n v="0"/>
    <n v="0"/>
    <x v="1"/>
  </r>
  <r>
    <x v="2"/>
    <d v="2025-08-19T00:00:00"/>
    <n v="231"/>
    <n v="5"/>
    <x v="2"/>
    <n v="30"/>
    <n v="4"/>
    <n v="0"/>
    <n v="0"/>
    <n v="0"/>
    <x v="1"/>
  </r>
  <r>
    <x v="2"/>
    <d v="2025-08-19T00:00:00"/>
    <n v="231"/>
    <n v="6"/>
    <x v="2"/>
    <n v="48"/>
    <n v="0"/>
    <n v="0"/>
    <n v="0"/>
    <n v="0"/>
    <x v="1"/>
  </r>
  <r>
    <x v="2"/>
    <d v="2025-08-19T00:00:00"/>
    <n v="231"/>
    <n v="8"/>
    <x v="2"/>
    <n v="10"/>
    <n v="0"/>
    <n v="0"/>
    <n v="0"/>
    <n v="0"/>
    <x v="1"/>
  </r>
  <r>
    <x v="2"/>
    <d v="2025-08-19T00:00:00"/>
    <n v="231"/>
    <n v="11"/>
    <x v="2"/>
    <n v="5"/>
    <n v="0"/>
    <n v="0"/>
    <n v="0"/>
    <n v="0"/>
    <x v="1"/>
  </r>
  <r>
    <x v="2"/>
    <d v="2025-08-19T00:00:00"/>
    <n v="231"/>
    <n v="3"/>
    <x v="3"/>
    <n v="0"/>
    <n v="1"/>
    <n v="0"/>
    <n v="0"/>
    <n v="0"/>
    <x v="1"/>
  </r>
  <r>
    <x v="2"/>
    <d v="2025-08-19T00:00:00"/>
    <n v="231"/>
    <n v="12"/>
    <x v="3"/>
    <n v="7"/>
    <n v="4"/>
    <n v="0"/>
    <n v="0"/>
    <n v="0"/>
    <x v="1"/>
  </r>
  <r>
    <x v="2"/>
    <d v="2025-08-19T00:00:00"/>
    <n v="231"/>
    <n v="14"/>
    <x v="3"/>
    <n v="0"/>
    <n v="2"/>
    <n v="0"/>
    <n v="0"/>
    <n v="0"/>
    <x v="1"/>
  </r>
  <r>
    <x v="2"/>
    <d v="2025-08-19T00:00:00"/>
    <n v="231"/>
    <n v="17"/>
    <x v="3"/>
    <n v="2"/>
    <n v="1"/>
    <n v="0"/>
    <n v="0"/>
    <n v="0"/>
    <x v="1"/>
  </r>
  <r>
    <x v="2"/>
    <d v="2025-08-19T00:00:00"/>
    <n v="231"/>
    <n v="18"/>
    <x v="3"/>
    <n v="0"/>
    <n v="0"/>
    <n v="0"/>
    <n v="0"/>
    <n v="0"/>
    <x v="1"/>
  </r>
  <r>
    <x v="2"/>
    <d v="2025-08-20T00:00:00"/>
    <n v="232"/>
    <n v="1"/>
    <x v="0"/>
    <n v="2"/>
    <n v="2"/>
    <n v="0"/>
    <n v="0"/>
    <n v="0"/>
    <x v="1"/>
  </r>
  <r>
    <x v="2"/>
    <d v="2025-08-20T00:00:00"/>
    <n v="232"/>
    <n v="6"/>
    <x v="0"/>
    <n v="0"/>
    <n v="1"/>
    <n v="0"/>
    <n v="0"/>
    <n v="0"/>
    <x v="1"/>
  </r>
  <r>
    <x v="2"/>
    <d v="2025-08-20T00:00:00"/>
    <n v="232"/>
    <n v="9"/>
    <x v="0"/>
    <n v="1"/>
    <n v="0"/>
    <n v="0"/>
    <n v="0"/>
    <n v="0"/>
    <x v="1"/>
  </r>
  <r>
    <x v="2"/>
    <d v="2025-08-20T00:00:00"/>
    <n v="232"/>
    <n v="13"/>
    <x v="0"/>
    <n v="0"/>
    <n v="1"/>
    <n v="0"/>
    <n v="0"/>
    <n v="0"/>
    <x v="1"/>
  </r>
  <r>
    <x v="2"/>
    <d v="2025-08-20T00:00:00"/>
    <n v="232"/>
    <n v="19"/>
    <x v="0"/>
    <n v="0"/>
    <n v="0"/>
    <n v="0"/>
    <n v="0"/>
    <n v="0"/>
    <x v="1"/>
  </r>
  <r>
    <x v="2"/>
    <d v="2025-08-20T00:00:00"/>
    <n v="232"/>
    <n v="2"/>
    <x v="1"/>
    <n v="0"/>
    <n v="0"/>
    <n v="0"/>
    <n v="0"/>
    <n v="0"/>
    <x v="1"/>
  </r>
  <r>
    <x v="2"/>
    <d v="2025-08-20T00:00:00"/>
    <n v="232"/>
    <n v="5"/>
    <x v="1"/>
    <n v="1"/>
    <n v="0"/>
    <n v="0"/>
    <n v="0"/>
    <n v="0"/>
    <x v="1"/>
  </r>
  <r>
    <x v="2"/>
    <d v="2025-08-20T00:00:00"/>
    <n v="232"/>
    <n v="7"/>
    <x v="1"/>
    <n v="1"/>
    <n v="0"/>
    <n v="0"/>
    <n v="0"/>
    <n v="0"/>
    <x v="1"/>
  </r>
  <r>
    <x v="2"/>
    <d v="2025-08-20T00:00:00"/>
    <n v="232"/>
    <n v="10"/>
    <x v="1"/>
    <n v="3"/>
    <n v="0"/>
    <n v="0"/>
    <n v="0"/>
    <n v="0"/>
    <x v="1"/>
  </r>
  <r>
    <x v="2"/>
    <d v="2025-08-20T00:00:00"/>
    <n v="232"/>
    <n v="12"/>
    <x v="1"/>
    <n v="0"/>
    <n v="0"/>
    <n v="0"/>
    <n v="0"/>
    <n v="0"/>
    <x v="1"/>
  </r>
  <r>
    <x v="2"/>
    <d v="2025-08-20T00:00:00"/>
    <n v="232"/>
    <n v="3"/>
    <x v="2"/>
    <n v="6"/>
    <n v="1"/>
    <n v="0"/>
    <n v="0"/>
    <n v="0"/>
    <x v="1"/>
  </r>
  <r>
    <x v="2"/>
    <d v="2025-08-20T00:00:00"/>
    <n v="232"/>
    <n v="8"/>
    <x v="2"/>
    <n v="2"/>
    <n v="2"/>
    <n v="0"/>
    <n v="0"/>
    <n v="0"/>
    <x v="1"/>
  </r>
  <r>
    <x v="2"/>
    <d v="2025-08-20T00:00:00"/>
    <n v="232"/>
    <n v="21"/>
    <x v="2"/>
    <n v="9"/>
    <n v="2"/>
    <n v="0"/>
    <n v="0"/>
    <n v="0"/>
    <x v="1"/>
  </r>
  <r>
    <x v="2"/>
    <d v="2025-08-20T00:00:00"/>
    <n v="232"/>
    <n v="4"/>
    <x v="3"/>
    <n v="1"/>
    <n v="1"/>
    <n v="0"/>
    <n v="0"/>
    <n v="0"/>
    <x v="1"/>
  </r>
  <r>
    <x v="2"/>
    <d v="2025-08-20T00:00:00"/>
    <n v="232"/>
    <n v="14"/>
    <x v="3"/>
    <n v="0"/>
    <n v="2"/>
    <n v="0"/>
    <n v="0"/>
    <n v="0"/>
    <x v="1"/>
  </r>
  <r>
    <x v="2"/>
    <d v="2025-08-20T00:00:00"/>
    <n v="232"/>
    <n v="15"/>
    <x v="3"/>
    <n v="0"/>
    <n v="0"/>
    <n v="0"/>
    <n v="0"/>
    <n v="0"/>
    <x v="1"/>
  </r>
  <r>
    <x v="2"/>
    <d v="2025-08-20T00:00:00"/>
    <n v="232"/>
    <n v="18"/>
    <x v="3"/>
    <n v="0"/>
    <n v="0"/>
    <n v="0"/>
    <n v="0"/>
    <n v="0"/>
    <x v="1"/>
  </r>
  <r>
    <x v="2"/>
    <d v="2025-08-20T00:00:00"/>
    <n v="232"/>
    <n v="20"/>
    <x v="3"/>
    <n v="0"/>
    <n v="0"/>
    <n v="0"/>
    <n v="0"/>
    <n v="0"/>
    <x v="1"/>
  </r>
  <r>
    <x v="3"/>
    <m/>
    <m/>
    <m/>
    <x v="4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3EABD-B8F9-414A-9BB4-1226200D79F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" firstHeaderRow="1" firstDataRow="3" firstDataCol="1"/>
  <pivotFields count="7"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0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culpin" fld="5" baseField="0" baseItem="0"/>
    <dataField name="Sum of 3-spine" fld="6" baseField="0" baseItem="0"/>
    <dataField name="Count of date.deplo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EFB88-A699-43EE-A37E-104D99F97F1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dataField="1" showAll="0">
      <items count="6">
        <item x="0"/>
        <item x="1"/>
        <item x="2"/>
        <item x="3"/>
        <item h="1"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trea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64C2B-30B4-4CD9-A3E5-C41C1BAA1349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3" firstHeaderRow="1" firstDataRow="3" firstDataCol="1"/>
  <pivotFields count="11"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x="3"/>
        <item h="1" x="4"/>
        <item t="default"/>
      </items>
    </pivotField>
    <pivotField dataField="1" showAll="0"/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2">
    <field x="0"/>
    <field x="10"/>
  </rowFields>
  <rowItems count="8">
    <i>
      <x/>
    </i>
    <i r="1">
      <x/>
    </i>
    <i r="1">
      <x v="1"/>
    </i>
    <i>
      <x v="1"/>
    </i>
    <i r="1">
      <x/>
    </i>
    <i>
      <x v="2"/>
    </i>
    <i r="1">
      <x/>
    </i>
    <i t="grand">
      <x/>
    </i>
  </rowItems>
  <colFields count="2">
    <field x="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Average of sculpin" fld="5" subtotal="average" baseField="0" baseItem="0"/>
    <dataField name="Average of 3-spine" fld="6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0-08-05T23:56:32.72" personId="{5356E333-335E-4E85-A872-4FF7BAE5133A}" id="{9E64C020-7990-430B-92B7-AEA4E777E795}">
    <text>C, A, J, 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0-08-05T23:56:32.72" personId="{5356E333-335E-4E85-A872-4FF7BAE5133A}" id="{031BF0CE-D601-48CF-94B0-FA376DC812BB}">
    <text>C, A, J, 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B088-758A-4C12-AD45-7508BFC8C62E}">
  <dimension ref="A1:R300"/>
  <sheetViews>
    <sheetView zoomScale="115" zoomScaleNormal="115" workbookViewId="0">
      <pane ySplit="1" topLeftCell="A2" activePane="bottomLeft" state="frozen"/>
      <selection pane="bottomLeft" sqref="A1:XFD1048576"/>
    </sheetView>
  </sheetViews>
  <sheetFormatPr defaultColWidth="8.875" defaultRowHeight="15.75" x14ac:dyDescent="0.25"/>
  <cols>
    <col min="1" max="1" width="11.375" customWidth="1"/>
    <col min="2" max="2" width="9.5" bestFit="1" customWidth="1"/>
    <col min="3" max="3" width="10.625" bestFit="1" customWidth="1"/>
    <col min="4" max="4" width="10.625" customWidth="1"/>
    <col min="5" max="5" width="10.5" bestFit="1" customWidth="1"/>
    <col min="6" max="6" width="10.5" customWidth="1"/>
    <col min="7" max="7" width="11.875" customWidth="1"/>
    <col min="8" max="9" width="15.375" customWidth="1"/>
    <col min="11" max="11" width="8.875" bestFit="1" customWidth="1"/>
    <col min="16" max="16" width="12.875" customWidth="1"/>
    <col min="17" max="17" width="19.375" customWidth="1"/>
    <col min="18" max="18" width="40.375" customWidth="1"/>
  </cols>
  <sheetData>
    <row r="1" spans="1:18" x14ac:dyDescent="0.25">
      <c r="A1" t="s">
        <v>13</v>
      </c>
      <c r="B1" t="s">
        <v>16</v>
      </c>
      <c r="C1" t="s">
        <v>17</v>
      </c>
      <c r="D1" t="s">
        <v>39</v>
      </c>
      <c r="E1" t="s">
        <v>14</v>
      </c>
      <c r="F1" t="s">
        <v>40</v>
      </c>
      <c r="G1" t="s">
        <v>12</v>
      </c>
      <c r="H1" t="s">
        <v>15</v>
      </c>
      <c r="I1" t="s">
        <v>11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24</v>
      </c>
      <c r="Q1" t="s">
        <v>38</v>
      </c>
      <c r="R1" t="s">
        <v>6</v>
      </c>
    </row>
    <row r="2" spans="1:18" x14ac:dyDescent="0.25">
      <c r="D2">
        <v>2015</v>
      </c>
      <c r="E2" s="8">
        <v>42219</v>
      </c>
      <c r="F2" s="5">
        <f t="shared" ref="F2:F65" si="0">E2-DATE(YEAR(E2),1,0)</f>
        <v>215</v>
      </c>
      <c r="G2" s="9">
        <v>0.78888888888888886</v>
      </c>
      <c r="H2" s="8">
        <v>42219</v>
      </c>
      <c r="I2" s="9">
        <v>0.91388888888888886</v>
      </c>
      <c r="J2" s="10">
        <v>2</v>
      </c>
      <c r="K2" t="s">
        <v>10</v>
      </c>
      <c r="L2">
        <v>0</v>
      </c>
      <c r="M2">
        <v>0</v>
      </c>
      <c r="N2">
        <v>0</v>
      </c>
      <c r="O2">
        <v>0</v>
      </c>
      <c r="P2">
        <v>0</v>
      </c>
      <c r="Q2" s="10" t="s">
        <v>59</v>
      </c>
    </row>
    <row r="3" spans="1:18" x14ac:dyDescent="0.25">
      <c r="D3">
        <v>2015</v>
      </c>
      <c r="E3" s="8">
        <v>42219</v>
      </c>
      <c r="F3" s="5">
        <f t="shared" si="0"/>
        <v>215</v>
      </c>
      <c r="G3" s="9">
        <v>0.78888888888888886</v>
      </c>
      <c r="H3" s="8">
        <v>42219</v>
      </c>
      <c r="I3" s="9">
        <v>0.91388888888888886</v>
      </c>
      <c r="J3" s="10">
        <v>5</v>
      </c>
      <c r="K3" t="s">
        <v>10</v>
      </c>
      <c r="L3">
        <v>0</v>
      </c>
      <c r="M3">
        <v>0</v>
      </c>
      <c r="N3">
        <v>0</v>
      </c>
      <c r="O3">
        <v>0</v>
      </c>
      <c r="P3">
        <v>0</v>
      </c>
      <c r="Q3" s="10" t="s">
        <v>59</v>
      </c>
    </row>
    <row r="4" spans="1:18" x14ac:dyDescent="0.25">
      <c r="D4">
        <v>2015</v>
      </c>
      <c r="E4" s="8">
        <v>42219</v>
      </c>
      <c r="F4" s="5">
        <f t="shared" si="0"/>
        <v>215</v>
      </c>
      <c r="G4" s="9">
        <v>0.78888888888888886</v>
      </c>
      <c r="H4" s="8">
        <v>42219</v>
      </c>
      <c r="I4" s="9">
        <v>0.91388888888888886</v>
      </c>
      <c r="J4" s="10">
        <v>8</v>
      </c>
      <c r="K4" t="s">
        <v>10</v>
      </c>
      <c r="L4">
        <v>0</v>
      </c>
      <c r="M4">
        <v>1</v>
      </c>
      <c r="N4">
        <v>0</v>
      </c>
      <c r="O4">
        <v>0</v>
      </c>
      <c r="P4">
        <v>0</v>
      </c>
      <c r="Q4" s="10" t="s">
        <v>59</v>
      </c>
    </row>
    <row r="5" spans="1:18" x14ac:dyDescent="0.25">
      <c r="D5">
        <v>2015</v>
      </c>
      <c r="E5" s="8">
        <v>42219</v>
      </c>
      <c r="F5" s="5">
        <f t="shared" si="0"/>
        <v>215</v>
      </c>
      <c r="G5" s="9">
        <v>0.78888888888888886</v>
      </c>
      <c r="H5" s="8">
        <v>42219</v>
      </c>
      <c r="I5" s="9">
        <v>0.91388888888888886</v>
      </c>
      <c r="J5" s="10">
        <v>11</v>
      </c>
      <c r="K5" t="s">
        <v>10</v>
      </c>
      <c r="L5">
        <v>1</v>
      </c>
      <c r="M5">
        <v>0</v>
      </c>
      <c r="N5">
        <v>0</v>
      </c>
      <c r="O5">
        <v>0</v>
      </c>
      <c r="P5">
        <v>0</v>
      </c>
      <c r="Q5" s="10" t="s">
        <v>59</v>
      </c>
    </row>
    <row r="6" spans="1:18" x14ac:dyDescent="0.25">
      <c r="D6">
        <v>2015</v>
      </c>
      <c r="E6" s="8">
        <v>42219</v>
      </c>
      <c r="F6" s="5">
        <f t="shared" si="0"/>
        <v>215</v>
      </c>
      <c r="G6" s="9">
        <v>0.78888888888888886</v>
      </c>
      <c r="H6" s="8">
        <v>42219</v>
      </c>
      <c r="I6" s="9">
        <v>0.91388888888888886</v>
      </c>
      <c r="J6" s="10">
        <v>14</v>
      </c>
      <c r="K6" t="s">
        <v>10</v>
      </c>
      <c r="L6">
        <v>0</v>
      </c>
      <c r="M6">
        <v>1</v>
      </c>
      <c r="N6">
        <v>0</v>
      </c>
      <c r="O6">
        <v>0</v>
      </c>
      <c r="P6">
        <v>0</v>
      </c>
      <c r="Q6" s="10" t="s">
        <v>59</v>
      </c>
    </row>
    <row r="7" spans="1:18" x14ac:dyDescent="0.25">
      <c r="D7">
        <v>2015</v>
      </c>
      <c r="E7" s="8">
        <v>42221</v>
      </c>
      <c r="F7" s="5">
        <f t="shared" si="0"/>
        <v>217</v>
      </c>
      <c r="G7" s="9">
        <v>0.98541666666666661</v>
      </c>
      <c r="H7" s="8">
        <v>42222</v>
      </c>
      <c r="I7" s="9">
        <v>0.44097222222222227</v>
      </c>
      <c r="J7" s="10">
        <v>2</v>
      </c>
      <c r="K7" t="s">
        <v>10</v>
      </c>
      <c r="L7">
        <v>0</v>
      </c>
      <c r="M7">
        <v>0</v>
      </c>
      <c r="N7">
        <v>0</v>
      </c>
      <c r="O7">
        <v>0</v>
      </c>
      <c r="P7">
        <v>0</v>
      </c>
      <c r="Q7" s="10" t="s">
        <v>59</v>
      </c>
    </row>
    <row r="8" spans="1:18" x14ac:dyDescent="0.25">
      <c r="D8">
        <v>2015</v>
      </c>
      <c r="E8" s="8">
        <v>42221</v>
      </c>
      <c r="F8" s="5">
        <f t="shared" si="0"/>
        <v>217</v>
      </c>
      <c r="G8" s="9">
        <v>0.98541666666666661</v>
      </c>
      <c r="H8" s="8">
        <v>42222</v>
      </c>
      <c r="I8" s="9">
        <v>0.44097222222222227</v>
      </c>
      <c r="J8" s="10">
        <v>5</v>
      </c>
      <c r="K8" t="s">
        <v>10</v>
      </c>
      <c r="L8">
        <v>8</v>
      </c>
      <c r="M8">
        <v>0</v>
      </c>
      <c r="N8">
        <v>0</v>
      </c>
      <c r="O8">
        <v>0</v>
      </c>
      <c r="P8">
        <v>0</v>
      </c>
      <c r="Q8" s="10" t="s">
        <v>59</v>
      </c>
    </row>
    <row r="9" spans="1:18" x14ac:dyDescent="0.25">
      <c r="D9">
        <v>2015</v>
      </c>
      <c r="E9" s="8">
        <v>42221</v>
      </c>
      <c r="F9" s="5">
        <f t="shared" si="0"/>
        <v>217</v>
      </c>
      <c r="G9" s="9">
        <v>0.98541666666666661</v>
      </c>
      <c r="H9" s="8">
        <v>42222</v>
      </c>
      <c r="I9" s="9">
        <v>0.44097222222222227</v>
      </c>
      <c r="J9" s="10">
        <v>8</v>
      </c>
      <c r="K9" t="s">
        <v>10</v>
      </c>
      <c r="L9">
        <v>0</v>
      </c>
      <c r="M9">
        <v>2</v>
      </c>
      <c r="N9">
        <v>0</v>
      </c>
      <c r="O9">
        <v>0</v>
      </c>
      <c r="P9">
        <v>0</v>
      </c>
      <c r="Q9" s="10" t="s">
        <v>59</v>
      </c>
    </row>
    <row r="10" spans="1:18" x14ac:dyDescent="0.25">
      <c r="D10">
        <v>2015</v>
      </c>
      <c r="E10" s="8">
        <v>42221</v>
      </c>
      <c r="F10" s="5">
        <f t="shared" si="0"/>
        <v>217</v>
      </c>
      <c r="G10" s="9">
        <v>0.98541666666666661</v>
      </c>
      <c r="H10" s="8">
        <v>42222</v>
      </c>
      <c r="I10" s="9">
        <v>0.44097222222222227</v>
      </c>
      <c r="J10" s="10">
        <v>11</v>
      </c>
      <c r="K10" t="s">
        <v>10</v>
      </c>
      <c r="L10">
        <v>1</v>
      </c>
      <c r="M10">
        <v>3</v>
      </c>
      <c r="N10">
        <v>0</v>
      </c>
      <c r="O10">
        <v>0</v>
      </c>
      <c r="P10">
        <v>0</v>
      </c>
      <c r="Q10" s="10" t="s">
        <v>59</v>
      </c>
    </row>
    <row r="11" spans="1:18" x14ac:dyDescent="0.25">
      <c r="D11">
        <v>2015</v>
      </c>
      <c r="E11" s="8">
        <v>42221</v>
      </c>
      <c r="F11" s="5">
        <f t="shared" si="0"/>
        <v>217</v>
      </c>
      <c r="G11" s="9">
        <v>0.98541666666666661</v>
      </c>
      <c r="H11" s="8">
        <v>42222</v>
      </c>
      <c r="I11" s="9">
        <v>0.44097222222222227</v>
      </c>
      <c r="J11" s="10">
        <v>14</v>
      </c>
      <c r="K11" t="s">
        <v>10</v>
      </c>
      <c r="L11">
        <v>1</v>
      </c>
      <c r="M11">
        <v>4</v>
      </c>
      <c r="N11">
        <v>0</v>
      </c>
      <c r="O11">
        <v>0</v>
      </c>
      <c r="P11">
        <v>0</v>
      </c>
      <c r="Q11" s="10" t="s">
        <v>59</v>
      </c>
    </row>
    <row r="12" spans="1:18" x14ac:dyDescent="0.25">
      <c r="D12">
        <v>2015</v>
      </c>
      <c r="E12" s="8">
        <v>42223</v>
      </c>
      <c r="F12" s="5">
        <f t="shared" si="0"/>
        <v>219</v>
      </c>
      <c r="G12" s="9">
        <v>0.93958333333333333</v>
      </c>
      <c r="H12" s="8">
        <v>42224</v>
      </c>
      <c r="I12" s="9">
        <v>0.44444444444444442</v>
      </c>
      <c r="J12" s="10">
        <v>2</v>
      </c>
      <c r="K12" t="s">
        <v>10</v>
      </c>
      <c r="L12">
        <v>0</v>
      </c>
      <c r="M12">
        <v>7</v>
      </c>
      <c r="N12">
        <v>0</v>
      </c>
      <c r="O12">
        <v>0</v>
      </c>
      <c r="P12">
        <v>0</v>
      </c>
      <c r="Q12" s="10" t="s">
        <v>59</v>
      </c>
    </row>
    <row r="13" spans="1:18" x14ac:dyDescent="0.25">
      <c r="D13">
        <v>2015</v>
      </c>
      <c r="E13" s="8">
        <v>42223</v>
      </c>
      <c r="F13" s="5">
        <f t="shared" si="0"/>
        <v>219</v>
      </c>
      <c r="G13" s="9">
        <v>0.93958333333333333</v>
      </c>
      <c r="H13" s="8">
        <v>42224</v>
      </c>
      <c r="I13" s="9">
        <v>0.44444444444444442</v>
      </c>
      <c r="J13" s="10">
        <v>5</v>
      </c>
      <c r="K13" t="s">
        <v>10</v>
      </c>
      <c r="L13">
        <v>1</v>
      </c>
      <c r="M13">
        <v>0</v>
      </c>
      <c r="N13">
        <v>0</v>
      </c>
      <c r="O13">
        <v>0</v>
      </c>
      <c r="P13">
        <v>0</v>
      </c>
      <c r="Q13" s="10" t="s">
        <v>59</v>
      </c>
    </row>
    <row r="14" spans="1:18" x14ac:dyDescent="0.25">
      <c r="D14">
        <v>2015</v>
      </c>
      <c r="E14" s="8">
        <v>42223</v>
      </c>
      <c r="F14" s="5">
        <f t="shared" si="0"/>
        <v>219</v>
      </c>
      <c r="G14" s="9">
        <v>0.93958333333333333</v>
      </c>
      <c r="H14" s="8">
        <v>42224</v>
      </c>
      <c r="I14" s="9">
        <v>0.44444444444444442</v>
      </c>
      <c r="J14" s="10">
        <v>8</v>
      </c>
      <c r="K14" t="s">
        <v>10</v>
      </c>
      <c r="L14">
        <v>0</v>
      </c>
      <c r="M14">
        <v>4</v>
      </c>
      <c r="N14">
        <v>0</v>
      </c>
      <c r="O14">
        <v>0</v>
      </c>
      <c r="P14">
        <v>0</v>
      </c>
      <c r="Q14" s="10" t="s">
        <v>59</v>
      </c>
    </row>
    <row r="15" spans="1:18" x14ac:dyDescent="0.25">
      <c r="D15">
        <v>2015</v>
      </c>
      <c r="E15" s="8">
        <v>42223</v>
      </c>
      <c r="F15" s="5">
        <f t="shared" si="0"/>
        <v>219</v>
      </c>
      <c r="G15" s="9">
        <v>0.93958333333333333</v>
      </c>
      <c r="H15" s="8">
        <v>42224</v>
      </c>
      <c r="I15" s="9">
        <v>0.44444444444444442</v>
      </c>
      <c r="J15" s="10">
        <v>11</v>
      </c>
      <c r="K15" t="s">
        <v>10</v>
      </c>
      <c r="L15">
        <v>0</v>
      </c>
      <c r="M15">
        <v>0</v>
      </c>
      <c r="N15">
        <v>0</v>
      </c>
      <c r="O15">
        <v>0</v>
      </c>
      <c r="P15">
        <v>0</v>
      </c>
      <c r="Q15" s="10" t="s">
        <v>59</v>
      </c>
    </row>
    <row r="16" spans="1:18" x14ac:dyDescent="0.25">
      <c r="D16">
        <v>2015</v>
      </c>
      <c r="E16" s="8">
        <v>42223</v>
      </c>
      <c r="F16" s="5">
        <f t="shared" si="0"/>
        <v>219</v>
      </c>
      <c r="G16" s="9">
        <v>0.93958333333333333</v>
      </c>
      <c r="H16" s="8">
        <v>42224</v>
      </c>
      <c r="I16" s="9">
        <v>0.44444444444444442</v>
      </c>
      <c r="J16" s="10">
        <v>14</v>
      </c>
      <c r="K16" t="s">
        <v>10</v>
      </c>
      <c r="L16">
        <v>0</v>
      </c>
      <c r="M16">
        <v>2</v>
      </c>
      <c r="N16">
        <v>1</v>
      </c>
      <c r="O16">
        <v>0</v>
      </c>
      <c r="P16">
        <v>0</v>
      </c>
      <c r="Q16" s="10" t="s">
        <v>59</v>
      </c>
    </row>
    <row r="17" spans="4:17" x14ac:dyDescent="0.25">
      <c r="D17">
        <v>2015</v>
      </c>
      <c r="E17" s="8">
        <v>42219</v>
      </c>
      <c r="F17" s="5">
        <f t="shared" si="0"/>
        <v>215</v>
      </c>
      <c r="G17" s="9">
        <v>0.78888888888888886</v>
      </c>
      <c r="H17" s="8">
        <v>42219</v>
      </c>
      <c r="I17" s="9">
        <v>0.91388888888888886</v>
      </c>
      <c r="J17" s="10">
        <v>1</v>
      </c>
      <c r="K17" t="s">
        <v>9</v>
      </c>
      <c r="L17">
        <v>0</v>
      </c>
      <c r="M17">
        <v>0</v>
      </c>
      <c r="N17">
        <v>0</v>
      </c>
      <c r="O17">
        <v>0</v>
      </c>
      <c r="P17">
        <v>0</v>
      </c>
      <c r="Q17" s="10" t="s">
        <v>59</v>
      </c>
    </row>
    <row r="18" spans="4:17" x14ac:dyDescent="0.25">
      <c r="D18">
        <v>2015</v>
      </c>
      <c r="E18" s="8">
        <v>42219</v>
      </c>
      <c r="F18" s="5">
        <f t="shared" si="0"/>
        <v>215</v>
      </c>
      <c r="G18" s="9">
        <v>0.78888888888888886</v>
      </c>
      <c r="H18" s="8">
        <v>42219</v>
      </c>
      <c r="I18" s="9">
        <v>0.91388888888888886</v>
      </c>
      <c r="J18" s="10">
        <v>4</v>
      </c>
      <c r="K18" t="s">
        <v>9</v>
      </c>
      <c r="L18">
        <v>0</v>
      </c>
      <c r="M18">
        <v>4</v>
      </c>
      <c r="N18">
        <v>0</v>
      </c>
      <c r="O18">
        <v>0</v>
      </c>
      <c r="P18">
        <v>0</v>
      </c>
      <c r="Q18" s="10" t="s">
        <v>59</v>
      </c>
    </row>
    <row r="19" spans="4:17" x14ac:dyDescent="0.25">
      <c r="D19">
        <v>2015</v>
      </c>
      <c r="E19" s="8">
        <v>42219</v>
      </c>
      <c r="F19" s="5">
        <f t="shared" si="0"/>
        <v>215</v>
      </c>
      <c r="G19" s="9">
        <v>0.78888888888888886</v>
      </c>
      <c r="H19" s="8">
        <v>42219</v>
      </c>
      <c r="I19" s="9">
        <v>0.91388888888888886</v>
      </c>
      <c r="J19" s="10">
        <v>7</v>
      </c>
      <c r="K19" t="s">
        <v>9</v>
      </c>
      <c r="L19">
        <v>0</v>
      </c>
      <c r="M19">
        <v>0</v>
      </c>
      <c r="N19">
        <v>0</v>
      </c>
      <c r="O19">
        <v>0</v>
      </c>
      <c r="P19">
        <v>0</v>
      </c>
      <c r="Q19" s="10" t="s">
        <v>59</v>
      </c>
    </row>
    <row r="20" spans="4:17" x14ac:dyDescent="0.25">
      <c r="D20">
        <v>2015</v>
      </c>
      <c r="E20" s="8">
        <v>42219</v>
      </c>
      <c r="F20" s="5">
        <f t="shared" si="0"/>
        <v>215</v>
      </c>
      <c r="G20" s="9">
        <v>0.78888888888888886</v>
      </c>
      <c r="H20" s="8">
        <v>42219</v>
      </c>
      <c r="I20" s="9">
        <v>0.91388888888888886</v>
      </c>
      <c r="J20" s="10">
        <v>10</v>
      </c>
      <c r="K20" t="s">
        <v>9</v>
      </c>
      <c r="L20">
        <v>0</v>
      </c>
      <c r="M20">
        <v>2</v>
      </c>
      <c r="N20">
        <v>0</v>
      </c>
      <c r="O20">
        <v>0</v>
      </c>
      <c r="P20">
        <v>0</v>
      </c>
      <c r="Q20" s="10" t="s">
        <v>59</v>
      </c>
    </row>
    <row r="21" spans="4:17" x14ac:dyDescent="0.25">
      <c r="D21">
        <v>2015</v>
      </c>
      <c r="E21" s="8">
        <v>42219</v>
      </c>
      <c r="F21" s="5">
        <f t="shared" si="0"/>
        <v>215</v>
      </c>
      <c r="G21" s="9">
        <v>0.78888888888888886</v>
      </c>
      <c r="H21" s="8">
        <v>42219</v>
      </c>
      <c r="I21" s="9">
        <v>0.91388888888888886</v>
      </c>
      <c r="J21" s="10">
        <v>13</v>
      </c>
      <c r="K21" t="s">
        <v>9</v>
      </c>
      <c r="L21">
        <v>0</v>
      </c>
      <c r="M21">
        <v>1</v>
      </c>
      <c r="N21">
        <v>0</v>
      </c>
      <c r="O21">
        <v>0</v>
      </c>
      <c r="P21">
        <v>0</v>
      </c>
      <c r="Q21" s="10" t="s">
        <v>59</v>
      </c>
    </row>
    <row r="22" spans="4:17" x14ac:dyDescent="0.25">
      <c r="D22">
        <v>2015</v>
      </c>
      <c r="E22" s="8">
        <v>42221</v>
      </c>
      <c r="F22" s="5">
        <f t="shared" si="0"/>
        <v>217</v>
      </c>
      <c r="G22" s="9">
        <v>0.98541666666666661</v>
      </c>
      <c r="H22" s="8">
        <v>42222</v>
      </c>
      <c r="I22" s="9">
        <v>0.44097222222222227</v>
      </c>
      <c r="J22" s="10">
        <v>4</v>
      </c>
      <c r="K22" t="s">
        <v>9</v>
      </c>
      <c r="L22">
        <v>0</v>
      </c>
      <c r="M22">
        <v>0</v>
      </c>
      <c r="N22">
        <v>0</v>
      </c>
      <c r="O22">
        <v>0</v>
      </c>
      <c r="P22">
        <v>0</v>
      </c>
      <c r="Q22" s="10" t="s">
        <v>59</v>
      </c>
    </row>
    <row r="23" spans="4:17" x14ac:dyDescent="0.25">
      <c r="D23">
        <v>2015</v>
      </c>
      <c r="E23" s="8">
        <v>42221</v>
      </c>
      <c r="F23" s="5">
        <f t="shared" si="0"/>
        <v>217</v>
      </c>
      <c r="G23" s="9">
        <v>0.98541666666666661</v>
      </c>
      <c r="H23" s="8">
        <v>42222</v>
      </c>
      <c r="I23" s="9">
        <v>0.44097222222222227</v>
      </c>
      <c r="J23" s="10">
        <v>7</v>
      </c>
      <c r="K23" t="s">
        <v>9</v>
      </c>
      <c r="L23">
        <v>1</v>
      </c>
      <c r="M23">
        <v>0</v>
      </c>
      <c r="N23">
        <v>0</v>
      </c>
      <c r="O23">
        <v>0</v>
      </c>
      <c r="P23">
        <v>0</v>
      </c>
      <c r="Q23" s="10" t="s">
        <v>59</v>
      </c>
    </row>
    <row r="24" spans="4:17" x14ac:dyDescent="0.25">
      <c r="D24">
        <v>2015</v>
      </c>
      <c r="E24" s="8">
        <v>42221</v>
      </c>
      <c r="F24" s="5">
        <f t="shared" si="0"/>
        <v>217</v>
      </c>
      <c r="G24" s="9">
        <v>0.98541666666666661</v>
      </c>
      <c r="H24" s="8">
        <v>42222</v>
      </c>
      <c r="I24" s="9">
        <v>0.44097222222222227</v>
      </c>
      <c r="J24" s="10">
        <v>10</v>
      </c>
      <c r="K24" t="s">
        <v>9</v>
      </c>
      <c r="L24">
        <v>0</v>
      </c>
      <c r="M24">
        <v>2</v>
      </c>
      <c r="N24">
        <v>0</v>
      </c>
      <c r="O24">
        <v>0</v>
      </c>
      <c r="P24">
        <v>0</v>
      </c>
      <c r="Q24" s="10" t="s">
        <v>59</v>
      </c>
    </row>
    <row r="25" spans="4:17" x14ac:dyDescent="0.25">
      <c r="D25">
        <v>2015</v>
      </c>
      <c r="E25" s="8">
        <v>42221</v>
      </c>
      <c r="F25" s="5">
        <f t="shared" si="0"/>
        <v>217</v>
      </c>
      <c r="G25" s="9">
        <v>0.98541666666666661</v>
      </c>
      <c r="H25" s="8">
        <v>42222</v>
      </c>
      <c r="I25" s="9">
        <v>0.44097222222222227</v>
      </c>
      <c r="J25" s="10">
        <v>13</v>
      </c>
      <c r="K25" t="s">
        <v>9</v>
      </c>
      <c r="L25">
        <v>1</v>
      </c>
      <c r="M25">
        <v>2</v>
      </c>
      <c r="N25">
        <v>0</v>
      </c>
      <c r="O25">
        <v>0</v>
      </c>
      <c r="P25">
        <v>0</v>
      </c>
      <c r="Q25" s="10" t="s">
        <v>59</v>
      </c>
    </row>
    <row r="26" spans="4:17" x14ac:dyDescent="0.25">
      <c r="D26">
        <v>2015</v>
      </c>
      <c r="E26" s="8">
        <v>42223</v>
      </c>
      <c r="F26" s="5">
        <f t="shared" si="0"/>
        <v>219</v>
      </c>
      <c r="G26" s="9">
        <v>0.93958333333333333</v>
      </c>
      <c r="H26" s="8">
        <v>42224</v>
      </c>
      <c r="I26" s="9">
        <v>0.44444444444444442</v>
      </c>
      <c r="J26" s="10">
        <v>1</v>
      </c>
      <c r="K26" t="s">
        <v>9</v>
      </c>
      <c r="L26">
        <v>2</v>
      </c>
      <c r="M26">
        <v>0</v>
      </c>
      <c r="N26">
        <v>0</v>
      </c>
      <c r="O26">
        <v>0</v>
      </c>
      <c r="P26">
        <v>0</v>
      </c>
      <c r="Q26" s="10" t="s">
        <v>59</v>
      </c>
    </row>
    <row r="27" spans="4:17" x14ac:dyDescent="0.25">
      <c r="D27">
        <v>2015</v>
      </c>
      <c r="E27" s="8">
        <v>42223</v>
      </c>
      <c r="F27" s="5">
        <f t="shared" si="0"/>
        <v>219</v>
      </c>
      <c r="G27" s="9">
        <v>0.93958333333333333</v>
      </c>
      <c r="H27" s="8">
        <v>42224</v>
      </c>
      <c r="I27" s="9">
        <v>0.44444444444444442</v>
      </c>
      <c r="J27" s="10">
        <v>4</v>
      </c>
      <c r="K27" t="s">
        <v>9</v>
      </c>
      <c r="L27">
        <v>0</v>
      </c>
      <c r="M27">
        <v>3</v>
      </c>
      <c r="N27">
        <v>0</v>
      </c>
      <c r="O27">
        <v>0</v>
      </c>
      <c r="P27">
        <v>0</v>
      </c>
      <c r="Q27" s="10" t="s">
        <v>59</v>
      </c>
    </row>
    <row r="28" spans="4:17" x14ac:dyDescent="0.25">
      <c r="D28">
        <v>2015</v>
      </c>
      <c r="E28" s="8">
        <v>42223</v>
      </c>
      <c r="F28" s="5">
        <f t="shared" si="0"/>
        <v>219</v>
      </c>
      <c r="G28" s="9">
        <v>0.93958333333333333</v>
      </c>
      <c r="H28" s="8">
        <v>42224</v>
      </c>
      <c r="I28" s="9">
        <v>0.44444444444444442</v>
      </c>
      <c r="J28" s="10">
        <v>7</v>
      </c>
      <c r="K28" t="s">
        <v>9</v>
      </c>
      <c r="L28">
        <v>1</v>
      </c>
      <c r="M28">
        <v>0</v>
      </c>
      <c r="N28">
        <v>0</v>
      </c>
      <c r="O28">
        <v>0</v>
      </c>
      <c r="P28">
        <v>0</v>
      </c>
      <c r="Q28" s="10" t="s">
        <v>59</v>
      </c>
    </row>
    <row r="29" spans="4:17" x14ac:dyDescent="0.25">
      <c r="D29">
        <v>2015</v>
      </c>
      <c r="E29" s="8">
        <v>42223</v>
      </c>
      <c r="F29" s="5">
        <f t="shared" si="0"/>
        <v>219</v>
      </c>
      <c r="G29" s="9">
        <v>0.93958333333333333</v>
      </c>
      <c r="H29" s="8">
        <v>42224</v>
      </c>
      <c r="I29" s="9">
        <v>0.44444444444444442</v>
      </c>
      <c r="J29" s="10">
        <v>10</v>
      </c>
      <c r="K29" t="s">
        <v>9</v>
      </c>
      <c r="L29">
        <v>1</v>
      </c>
      <c r="M29">
        <v>4</v>
      </c>
      <c r="N29">
        <v>0</v>
      </c>
      <c r="O29">
        <v>0</v>
      </c>
      <c r="P29">
        <v>0</v>
      </c>
      <c r="Q29" s="10" t="s">
        <v>59</v>
      </c>
    </row>
    <row r="30" spans="4:17" x14ac:dyDescent="0.25">
      <c r="D30">
        <v>2015</v>
      </c>
      <c r="E30" s="8">
        <v>42223</v>
      </c>
      <c r="F30" s="5">
        <f t="shared" si="0"/>
        <v>219</v>
      </c>
      <c r="G30" s="9">
        <v>0.93958333333333333</v>
      </c>
      <c r="H30" s="8">
        <v>42224</v>
      </c>
      <c r="I30" s="9">
        <v>0.44444444444444442</v>
      </c>
      <c r="J30" s="10">
        <v>13</v>
      </c>
      <c r="K30" t="s">
        <v>9</v>
      </c>
      <c r="L30">
        <v>1</v>
      </c>
      <c r="M30">
        <v>2</v>
      </c>
      <c r="N30">
        <v>0</v>
      </c>
      <c r="O30">
        <v>0</v>
      </c>
      <c r="P30">
        <v>0</v>
      </c>
      <c r="Q30" s="10" t="s">
        <v>59</v>
      </c>
    </row>
    <row r="31" spans="4:17" x14ac:dyDescent="0.25">
      <c r="D31">
        <v>2015</v>
      </c>
      <c r="E31" s="8">
        <v>42219</v>
      </c>
      <c r="F31" s="5">
        <f t="shared" si="0"/>
        <v>215</v>
      </c>
      <c r="G31" s="9">
        <v>0.78888888888888886</v>
      </c>
      <c r="H31" s="8">
        <v>42219</v>
      </c>
      <c r="I31" s="9">
        <v>0.91388888888888886</v>
      </c>
      <c r="J31" s="10">
        <v>3</v>
      </c>
      <c r="K31" t="s">
        <v>7</v>
      </c>
      <c r="L31">
        <v>0</v>
      </c>
      <c r="M31">
        <v>2</v>
      </c>
      <c r="N31">
        <v>0</v>
      </c>
      <c r="O31">
        <v>0</v>
      </c>
      <c r="P31">
        <v>0</v>
      </c>
      <c r="Q31" s="10" t="s">
        <v>59</v>
      </c>
    </row>
    <row r="32" spans="4:17" x14ac:dyDescent="0.25">
      <c r="D32">
        <v>2015</v>
      </c>
      <c r="E32" s="8">
        <v>42219</v>
      </c>
      <c r="F32" s="5">
        <f t="shared" si="0"/>
        <v>215</v>
      </c>
      <c r="G32" s="9">
        <v>0.78888888888888886</v>
      </c>
      <c r="H32" s="8">
        <v>42219</v>
      </c>
      <c r="I32" s="9">
        <v>0.91388888888888886</v>
      </c>
      <c r="J32" s="10">
        <v>6</v>
      </c>
      <c r="K32" t="s">
        <v>7</v>
      </c>
      <c r="L32">
        <v>0</v>
      </c>
      <c r="M32">
        <v>13</v>
      </c>
      <c r="N32">
        <v>0</v>
      </c>
      <c r="O32">
        <v>0</v>
      </c>
      <c r="P32">
        <v>0</v>
      </c>
      <c r="Q32" s="10" t="s">
        <v>59</v>
      </c>
    </row>
    <row r="33" spans="1:17" x14ac:dyDescent="0.25">
      <c r="D33">
        <v>2015</v>
      </c>
      <c r="E33" s="8">
        <v>42219</v>
      </c>
      <c r="F33" s="5">
        <f t="shared" si="0"/>
        <v>215</v>
      </c>
      <c r="G33" s="9">
        <v>0.78888888888888886</v>
      </c>
      <c r="H33" s="8">
        <v>42219</v>
      </c>
      <c r="I33" s="9">
        <v>0.91388888888888886</v>
      </c>
      <c r="J33" s="10">
        <v>9</v>
      </c>
      <c r="K33" t="s">
        <v>7</v>
      </c>
      <c r="L33">
        <v>0</v>
      </c>
      <c r="M33">
        <v>18</v>
      </c>
      <c r="N33">
        <v>1</v>
      </c>
      <c r="O33">
        <v>0</v>
      </c>
      <c r="P33">
        <v>0</v>
      </c>
      <c r="Q33" s="10" t="s">
        <v>59</v>
      </c>
    </row>
    <row r="34" spans="1:17" x14ac:dyDescent="0.25">
      <c r="D34">
        <v>2015</v>
      </c>
      <c r="E34" s="8">
        <v>42219</v>
      </c>
      <c r="F34" s="5">
        <f t="shared" si="0"/>
        <v>215</v>
      </c>
      <c r="G34" s="9">
        <v>0.78888888888888886</v>
      </c>
      <c r="H34" s="8">
        <v>42219</v>
      </c>
      <c r="I34" s="9">
        <v>0.91388888888888886</v>
      </c>
      <c r="J34" s="10">
        <v>12</v>
      </c>
      <c r="K34" t="s">
        <v>7</v>
      </c>
      <c r="L34">
        <v>2</v>
      </c>
      <c r="M34">
        <v>3</v>
      </c>
      <c r="N34">
        <v>0</v>
      </c>
      <c r="O34">
        <v>0</v>
      </c>
      <c r="P34">
        <v>0</v>
      </c>
      <c r="Q34" s="10" t="s">
        <v>59</v>
      </c>
    </row>
    <row r="35" spans="1:17" x14ac:dyDescent="0.25">
      <c r="D35">
        <v>2015</v>
      </c>
      <c r="E35" s="8">
        <v>42219</v>
      </c>
      <c r="F35" s="5">
        <f t="shared" si="0"/>
        <v>215</v>
      </c>
      <c r="G35" s="9">
        <v>0.78888888888888886</v>
      </c>
      <c r="H35" s="8">
        <v>42219</v>
      </c>
      <c r="I35" s="9">
        <v>0.91388888888888886</v>
      </c>
      <c r="J35" s="10">
        <v>15</v>
      </c>
      <c r="K35" t="s">
        <v>7</v>
      </c>
      <c r="L35">
        <v>1</v>
      </c>
      <c r="M35">
        <v>4</v>
      </c>
      <c r="N35">
        <v>0</v>
      </c>
      <c r="O35">
        <v>0</v>
      </c>
      <c r="P35">
        <v>0</v>
      </c>
      <c r="Q35" s="10" t="s">
        <v>59</v>
      </c>
    </row>
    <row r="36" spans="1:17" x14ac:dyDescent="0.25">
      <c r="D36">
        <v>2015</v>
      </c>
      <c r="E36" s="8">
        <v>42221</v>
      </c>
      <c r="F36" s="5">
        <f t="shared" si="0"/>
        <v>217</v>
      </c>
      <c r="G36" s="9">
        <v>0.98541666666666661</v>
      </c>
      <c r="H36" s="8">
        <v>42222</v>
      </c>
      <c r="I36" s="9">
        <v>0.44097222222222227</v>
      </c>
      <c r="J36" s="10">
        <v>3</v>
      </c>
      <c r="K36" t="s">
        <v>7</v>
      </c>
      <c r="L36">
        <v>10</v>
      </c>
      <c r="M36">
        <v>3</v>
      </c>
      <c r="N36">
        <v>0</v>
      </c>
      <c r="O36">
        <v>0</v>
      </c>
      <c r="P36">
        <v>0</v>
      </c>
      <c r="Q36" s="10" t="s">
        <v>59</v>
      </c>
    </row>
    <row r="37" spans="1:17" x14ac:dyDescent="0.25">
      <c r="D37">
        <v>2015</v>
      </c>
      <c r="E37" s="8">
        <v>42221</v>
      </c>
      <c r="F37" s="5">
        <f t="shared" si="0"/>
        <v>217</v>
      </c>
      <c r="G37" s="9">
        <v>0.98541666666666661</v>
      </c>
      <c r="H37" s="8">
        <v>42222</v>
      </c>
      <c r="I37" s="9">
        <v>0.44097222222222227</v>
      </c>
      <c r="J37" s="10">
        <v>6</v>
      </c>
      <c r="K37" t="s">
        <v>7</v>
      </c>
      <c r="L37">
        <v>15</v>
      </c>
      <c r="M37">
        <v>1</v>
      </c>
      <c r="N37">
        <v>0</v>
      </c>
      <c r="O37">
        <v>0</v>
      </c>
      <c r="P37">
        <v>0</v>
      </c>
      <c r="Q37" s="10" t="s">
        <v>59</v>
      </c>
    </row>
    <row r="38" spans="1:17" x14ac:dyDescent="0.25">
      <c r="D38">
        <v>2015</v>
      </c>
      <c r="E38" s="8">
        <v>42221</v>
      </c>
      <c r="F38" s="5">
        <f t="shared" si="0"/>
        <v>217</v>
      </c>
      <c r="G38" s="9">
        <v>0.98541666666666661</v>
      </c>
      <c r="H38" s="8">
        <v>42222</v>
      </c>
      <c r="I38" s="9">
        <v>0.44097222222222227</v>
      </c>
      <c r="J38" s="10">
        <v>9</v>
      </c>
      <c r="K38" t="s">
        <v>7</v>
      </c>
      <c r="L38">
        <v>11</v>
      </c>
      <c r="M38">
        <v>0</v>
      </c>
      <c r="N38">
        <v>0</v>
      </c>
      <c r="O38">
        <v>0</v>
      </c>
      <c r="P38">
        <v>0</v>
      </c>
      <c r="Q38" s="10" t="s">
        <v>59</v>
      </c>
    </row>
    <row r="39" spans="1:17" x14ac:dyDescent="0.25">
      <c r="D39">
        <v>2015</v>
      </c>
      <c r="E39" s="8">
        <v>42221</v>
      </c>
      <c r="F39" s="5">
        <f t="shared" si="0"/>
        <v>217</v>
      </c>
      <c r="G39" s="9">
        <v>0.98541666666666661</v>
      </c>
      <c r="H39" s="8">
        <v>42222</v>
      </c>
      <c r="I39" s="9">
        <v>0.44097222222222227</v>
      </c>
      <c r="J39" s="10">
        <v>12</v>
      </c>
      <c r="K39" t="s">
        <v>7</v>
      </c>
      <c r="L39">
        <v>40</v>
      </c>
      <c r="M39">
        <v>2</v>
      </c>
      <c r="N39">
        <v>0</v>
      </c>
      <c r="O39">
        <v>0</v>
      </c>
      <c r="P39">
        <v>0</v>
      </c>
      <c r="Q39" s="10" t="s">
        <v>59</v>
      </c>
    </row>
    <row r="40" spans="1:17" x14ac:dyDescent="0.25">
      <c r="D40">
        <v>2015</v>
      </c>
      <c r="E40" s="8">
        <v>42221</v>
      </c>
      <c r="F40" s="5">
        <f t="shared" si="0"/>
        <v>217</v>
      </c>
      <c r="G40" s="9">
        <v>0.98541666666666661</v>
      </c>
      <c r="H40" s="8">
        <v>42222</v>
      </c>
      <c r="I40" s="9">
        <v>0.44097222222222227</v>
      </c>
      <c r="J40" s="10">
        <v>15</v>
      </c>
      <c r="K40" t="s">
        <v>7</v>
      </c>
      <c r="L40">
        <v>19</v>
      </c>
      <c r="M40">
        <v>9</v>
      </c>
      <c r="N40">
        <v>0</v>
      </c>
      <c r="O40">
        <v>0</v>
      </c>
      <c r="P40">
        <v>0</v>
      </c>
      <c r="Q40" s="10" t="s">
        <v>59</v>
      </c>
    </row>
    <row r="41" spans="1:17" x14ac:dyDescent="0.25">
      <c r="D41">
        <v>2015</v>
      </c>
      <c r="E41" s="8">
        <v>42223</v>
      </c>
      <c r="F41" s="5">
        <f t="shared" si="0"/>
        <v>219</v>
      </c>
      <c r="G41" s="9">
        <v>0.93958333333333333</v>
      </c>
      <c r="H41" s="8">
        <v>42224</v>
      </c>
      <c r="I41" s="9">
        <v>0.44444444444444442</v>
      </c>
      <c r="J41" s="10">
        <v>3</v>
      </c>
      <c r="K41" t="s">
        <v>7</v>
      </c>
      <c r="L41">
        <v>7</v>
      </c>
      <c r="M41">
        <v>0</v>
      </c>
      <c r="N41">
        <v>0</v>
      </c>
      <c r="O41">
        <v>0</v>
      </c>
      <c r="P41">
        <v>0</v>
      </c>
      <c r="Q41" s="10" t="s">
        <v>59</v>
      </c>
    </row>
    <row r="42" spans="1:17" x14ac:dyDescent="0.25">
      <c r="D42">
        <v>2015</v>
      </c>
      <c r="E42" s="8">
        <v>42223</v>
      </c>
      <c r="F42" s="5">
        <f t="shared" si="0"/>
        <v>219</v>
      </c>
      <c r="G42" s="9">
        <v>0.93958333333333333</v>
      </c>
      <c r="H42" s="8">
        <v>42224</v>
      </c>
      <c r="I42" s="9">
        <v>0.44444444444444442</v>
      </c>
      <c r="J42" s="10">
        <v>6</v>
      </c>
      <c r="K42" t="s">
        <v>7</v>
      </c>
      <c r="L42">
        <v>1</v>
      </c>
      <c r="M42">
        <v>0</v>
      </c>
      <c r="N42">
        <v>0</v>
      </c>
      <c r="O42">
        <v>0</v>
      </c>
      <c r="P42">
        <v>0</v>
      </c>
      <c r="Q42" s="10" t="s">
        <v>59</v>
      </c>
    </row>
    <row r="43" spans="1:17" x14ac:dyDescent="0.25">
      <c r="D43">
        <v>2015</v>
      </c>
      <c r="E43" s="8">
        <v>42223</v>
      </c>
      <c r="F43" s="5">
        <f t="shared" si="0"/>
        <v>219</v>
      </c>
      <c r="G43" s="9">
        <v>0.93958333333333333</v>
      </c>
      <c r="H43" s="8">
        <v>42224</v>
      </c>
      <c r="I43" s="9">
        <v>0.44444444444444442</v>
      </c>
      <c r="J43" s="10">
        <v>9</v>
      </c>
      <c r="K43" t="s">
        <v>7</v>
      </c>
      <c r="L43">
        <v>8</v>
      </c>
      <c r="M43">
        <v>0</v>
      </c>
      <c r="N43">
        <v>0</v>
      </c>
      <c r="O43">
        <v>0</v>
      </c>
      <c r="P43">
        <v>0</v>
      </c>
      <c r="Q43" s="10" t="s">
        <v>59</v>
      </c>
    </row>
    <row r="44" spans="1:17" x14ac:dyDescent="0.25">
      <c r="D44">
        <v>2015</v>
      </c>
      <c r="E44" s="8">
        <v>42223</v>
      </c>
      <c r="F44" s="5">
        <f t="shared" si="0"/>
        <v>219</v>
      </c>
      <c r="G44" s="9">
        <v>0.93958333333333333</v>
      </c>
      <c r="H44" s="8">
        <v>42224</v>
      </c>
      <c r="I44" s="9">
        <v>0.44444444444444442</v>
      </c>
      <c r="J44" s="10">
        <v>12</v>
      </c>
      <c r="K44" t="s">
        <v>7</v>
      </c>
      <c r="L44">
        <v>6</v>
      </c>
      <c r="M44">
        <v>1</v>
      </c>
      <c r="N44">
        <v>0</v>
      </c>
      <c r="O44">
        <v>0</v>
      </c>
      <c r="P44">
        <v>0</v>
      </c>
      <c r="Q44" s="10" t="s">
        <v>59</v>
      </c>
    </row>
    <row r="45" spans="1:17" x14ac:dyDescent="0.25">
      <c r="D45">
        <v>2015</v>
      </c>
      <c r="E45" s="8">
        <v>42223</v>
      </c>
      <c r="F45" s="5">
        <f t="shared" si="0"/>
        <v>219</v>
      </c>
      <c r="G45" s="9">
        <v>0.93958333333333333</v>
      </c>
      <c r="H45" s="8">
        <v>42224</v>
      </c>
      <c r="I45" s="9">
        <v>0.44444444444444442</v>
      </c>
      <c r="J45" s="10">
        <v>15</v>
      </c>
      <c r="K45" t="s">
        <v>7</v>
      </c>
      <c r="L45">
        <v>2</v>
      </c>
      <c r="M45">
        <v>3</v>
      </c>
      <c r="N45">
        <v>0</v>
      </c>
      <c r="O45">
        <v>0</v>
      </c>
      <c r="P45">
        <v>0</v>
      </c>
      <c r="Q45" s="10" t="s">
        <v>59</v>
      </c>
    </row>
    <row r="46" spans="1:17" x14ac:dyDescent="0.25">
      <c r="A46">
        <v>1</v>
      </c>
      <c r="B46" t="s">
        <v>18</v>
      </c>
      <c r="C46" t="s">
        <v>18</v>
      </c>
      <c r="D46">
        <v>2020</v>
      </c>
      <c r="E46" s="1">
        <v>44047</v>
      </c>
      <c r="F46" s="5">
        <f t="shared" si="0"/>
        <v>217</v>
      </c>
      <c r="G46" s="2">
        <v>0.89027777777777783</v>
      </c>
      <c r="H46" s="1">
        <v>44048</v>
      </c>
      <c r="I46" s="2">
        <v>0.47916666666666669</v>
      </c>
      <c r="J46">
        <v>2</v>
      </c>
      <c r="K46" t="s">
        <v>10</v>
      </c>
      <c r="L46">
        <v>1</v>
      </c>
      <c r="M46">
        <v>16</v>
      </c>
      <c r="N46">
        <v>0</v>
      </c>
      <c r="O46">
        <v>0</v>
      </c>
      <c r="P46">
        <v>0</v>
      </c>
      <c r="Q46" s="10" t="s">
        <v>59</v>
      </c>
    </row>
    <row r="47" spans="1:17" x14ac:dyDescent="0.25">
      <c r="A47">
        <v>1</v>
      </c>
      <c r="B47" t="s">
        <v>18</v>
      </c>
      <c r="C47" t="s">
        <v>18</v>
      </c>
      <c r="D47">
        <v>2020</v>
      </c>
      <c r="E47" s="1">
        <v>44047</v>
      </c>
      <c r="F47" s="5">
        <f t="shared" si="0"/>
        <v>217</v>
      </c>
      <c r="G47" s="2">
        <v>0.89027777777777783</v>
      </c>
      <c r="H47" s="1">
        <v>44048</v>
      </c>
      <c r="I47" s="2">
        <v>0.47916666666666669</v>
      </c>
      <c r="J47">
        <v>4</v>
      </c>
      <c r="K47" t="s">
        <v>10</v>
      </c>
      <c r="L47">
        <v>3</v>
      </c>
      <c r="M47">
        <v>1</v>
      </c>
      <c r="N47">
        <v>0</v>
      </c>
      <c r="O47">
        <v>0</v>
      </c>
      <c r="P47">
        <v>0</v>
      </c>
      <c r="Q47" s="10" t="s">
        <v>59</v>
      </c>
    </row>
    <row r="48" spans="1:17" x14ac:dyDescent="0.25">
      <c r="A48">
        <v>1</v>
      </c>
      <c r="B48" t="s">
        <v>18</v>
      </c>
      <c r="C48" t="s">
        <v>18</v>
      </c>
      <c r="D48">
        <v>2020</v>
      </c>
      <c r="E48" s="1">
        <v>44047</v>
      </c>
      <c r="F48" s="5">
        <f t="shared" si="0"/>
        <v>217</v>
      </c>
      <c r="G48" s="2">
        <v>0.89027777777777783</v>
      </c>
      <c r="H48" s="1">
        <v>44048</v>
      </c>
      <c r="I48" s="2">
        <v>0.47916666666666669</v>
      </c>
      <c r="J48">
        <v>15</v>
      </c>
      <c r="K48" t="s">
        <v>10</v>
      </c>
      <c r="L48">
        <v>1</v>
      </c>
      <c r="M48">
        <v>10</v>
      </c>
      <c r="N48">
        <v>0</v>
      </c>
      <c r="O48">
        <v>0</v>
      </c>
      <c r="P48">
        <v>0</v>
      </c>
      <c r="Q48" s="10" t="s">
        <v>59</v>
      </c>
    </row>
    <row r="49" spans="1:17" x14ac:dyDescent="0.25">
      <c r="A49">
        <v>1</v>
      </c>
      <c r="B49" t="s">
        <v>18</v>
      </c>
      <c r="C49" t="s">
        <v>18</v>
      </c>
      <c r="D49">
        <v>2020</v>
      </c>
      <c r="E49" s="1">
        <v>44047</v>
      </c>
      <c r="F49" s="5">
        <f t="shared" si="0"/>
        <v>217</v>
      </c>
      <c r="G49" s="2">
        <v>0.89027777777777783</v>
      </c>
      <c r="H49" s="1">
        <v>44048</v>
      </c>
      <c r="I49" s="2">
        <v>0.47916666666666669</v>
      </c>
      <c r="J49">
        <v>17</v>
      </c>
      <c r="K49" t="s">
        <v>10</v>
      </c>
      <c r="L49">
        <v>4</v>
      </c>
      <c r="M49">
        <v>8</v>
      </c>
      <c r="N49">
        <v>0</v>
      </c>
      <c r="O49">
        <v>0</v>
      </c>
      <c r="P49">
        <v>0</v>
      </c>
      <c r="Q49" s="10" t="s">
        <v>59</v>
      </c>
    </row>
    <row r="50" spans="1:17" x14ac:dyDescent="0.25">
      <c r="A50">
        <v>1</v>
      </c>
      <c r="B50" t="s">
        <v>18</v>
      </c>
      <c r="C50" t="s">
        <v>18</v>
      </c>
      <c r="D50">
        <v>2020</v>
      </c>
      <c r="E50" s="1">
        <v>44047</v>
      </c>
      <c r="F50" s="5">
        <f t="shared" si="0"/>
        <v>217</v>
      </c>
      <c r="G50" s="2">
        <v>0.89027777777777783</v>
      </c>
      <c r="H50" s="1">
        <v>44048</v>
      </c>
      <c r="I50" s="2">
        <v>0.47916666666666669</v>
      </c>
      <c r="J50">
        <v>18</v>
      </c>
      <c r="K50" t="s">
        <v>10</v>
      </c>
      <c r="L50">
        <v>2</v>
      </c>
      <c r="M50">
        <v>13</v>
      </c>
      <c r="N50">
        <v>0</v>
      </c>
      <c r="O50">
        <v>0</v>
      </c>
      <c r="P50">
        <v>0</v>
      </c>
      <c r="Q50" s="10" t="s">
        <v>59</v>
      </c>
    </row>
    <row r="51" spans="1:17" x14ac:dyDescent="0.25">
      <c r="A51">
        <v>2</v>
      </c>
      <c r="B51" t="s">
        <v>18</v>
      </c>
      <c r="C51" t="s">
        <v>19</v>
      </c>
      <c r="D51">
        <v>2020</v>
      </c>
      <c r="E51" s="1">
        <v>44048</v>
      </c>
      <c r="F51" s="5">
        <f t="shared" si="0"/>
        <v>218</v>
      </c>
      <c r="G51" s="2">
        <v>0.82430555555555562</v>
      </c>
      <c r="H51" s="1">
        <v>44049</v>
      </c>
      <c r="I51" s="2">
        <v>0.49861111111111112</v>
      </c>
      <c r="J51">
        <v>19</v>
      </c>
      <c r="K51" t="s">
        <v>10</v>
      </c>
      <c r="L51">
        <v>1</v>
      </c>
      <c r="M51">
        <v>0</v>
      </c>
      <c r="N51">
        <v>0</v>
      </c>
      <c r="O51">
        <v>0</v>
      </c>
      <c r="P51">
        <v>0</v>
      </c>
      <c r="Q51" s="10" t="s">
        <v>59</v>
      </c>
    </row>
    <row r="52" spans="1:17" x14ac:dyDescent="0.25">
      <c r="A52">
        <v>2</v>
      </c>
      <c r="B52" t="s">
        <v>18</v>
      </c>
      <c r="C52" t="s">
        <v>19</v>
      </c>
      <c r="D52">
        <v>2020</v>
      </c>
      <c r="E52" s="1">
        <v>44048</v>
      </c>
      <c r="F52" s="5">
        <f t="shared" si="0"/>
        <v>218</v>
      </c>
      <c r="G52" s="2">
        <v>0.82430555555555562</v>
      </c>
      <c r="H52" s="1">
        <v>44049</v>
      </c>
      <c r="I52" s="2">
        <v>0.49861111111111112</v>
      </c>
      <c r="J52">
        <v>18</v>
      </c>
      <c r="K52" t="s">
        <v>10</v>
      </c>
      <c r="L52">
        <v>0</v>
      </c>
      <c r="M52">
        <v>0</v>
      </c>
      <c r="N52">
        <v>0</v>
      </c>
      <c r="O52">
        <v>0</v>
      </c>
      <c r="P52">
        <v>0</v>
      </c>
      <c r="Q52" s="10" t="s">
        <v>59</v>
      </c>
    </row>
    <row r="53" spans="1:17" x14ac:dyDescent="0.25">
      <c r="A53">
        <v>2</v>
      </c>
      <c r="B53" t="s">
        <v>18</v>
      </c>
      <c r="C53" t="s">
        <v>19</v>
      </c>
      <c r="D53">
        <v>2020</v>
      </c>
      <c r="E53" s="1">
        <v>44048</v>
      </c>
      <c r="F53" s="5">
        <f t="shared" si="0"/>
        <v>218</v>
      </c>
      <c r="G53" s="2">
        <v>0.82430555555555562</v>
      </c>
      <c r="H53" s="1">
        <v>44049</v>
      </c>
      <c r="I53" s="2">
        <v>0.49861111111111112</v>
      </c>
      <c r="J53">
        <v>16</v>
      </c>
      <c r="K53" t="s">
        <v>10</v>
      </c>
      <c r="L53">
        <v>0</v>
      </c>
      <c r="M53">
        <v>0</v>
      </c>
      <c r="N53">
        <v>0</v>
      </c>
      <c r="O53">
        <v>0</v>
      </c>
      <c r="P53">
        <v>0</v>
      </c>
      <c r="Q53" s="10" t="s">
        <v>59</v>
      </c>
    </row>
    <row r="54" spans="1:17" x14ac:dyDescent="0.25">
      <c r="A54">
        <v>2</v>
      </c>
      <c r="B54" t="s">
        <v>18</v>
      </c>
      <c r="C54" t="s">
        <v>19</v>
      </c>
      <c r="D54">
        <v>2020</v>
      </c>
      <c r="E54" s="1">
        <v>44048</v>
      </c>
      <c r="F54" s="5">
        <f t="shared" si="0"/>
        <v>218</v>
      </c>
      <c r="G54" s="2">
        <v>0.82430555555555562</v>
      </c>
      <c r="H54" s="1">
        <v>44049</v>
      </c>
      <c r="I54" s="2">
        <v>0.49861111111111112</v>
      </c>
      <c r="J54">
        <v>14</v>
      </c>
      <c r="K54" t="s">
        <v>10</v>
      </c>
      <c r="L54">
        <v>0</v>
      </c>
      <c r="M54">
        <v>0</v>
      </c>
      <c r="N54">
        <v>0</v>
      </c>
      <c r="O54">
        <v>0</v>
      </c>
      <c r="P54">
        <v>0</v>
      </c>
      <c r="Q54" s="10" t="s">
        <v>59</v>
      </c>
    </row>
    <row r="55" spans="1:17" x14ac:dyDescent="0.25">
      <c r="A55">
        <v>2</v>
      </c>
      <c r="B55" t="s">
        <v>18</v>
      </c>
      <c r="C55" t="s">
        <v>19</v>
      </c>
      <c r="D55">
        <v>2020</v>
      </c>
      <c r="E55" s="1">
        <v>44048</v>
      </c>
      <c r="F55" s="5">
        <f t="shared" si="0"/>
        <v>218</v>
      </c>
      <c r="G55" s="2">
        <v>0.82430555555555562</v>
      </c>
      <c r="H55" s="1">
        <v>44049</v>
      </c>
      <c r="I55" s="2">
        <v>0.49861111111111112</v>
      </c>
      <c r="J55">
        <v>13</v>
      </c>
      <c r="K55" t="s">
        <v>10</v>
      </c>
      <c r="L55">
        <v>0</v>
      </c>
      <c r="M55">
        <v>0</v>
      </c>
      <c r="N55">
        <v>0</v>
      </c>
      <c r="O55">
        <v>0</v>
      </c>
      <c r="P55">
        <v>0</v>
      </c>
      <c r="Q55" s="10" t="s">
        <v>59</v>
      </c>
    </row>
    <row r="56" spans="1:17" x14ac:dyDescent="0.25">
      <c r="A56">
        <v>3</v>
      </c>
      <c r="B56" t="s">
        <v>20</v>
      </c>
      <c r="C56" t="s">
        <v>18</v>
      </c>
      <c r="D56">
        <v>2020</v>
      </c>
      <c r="E56" s="1">
        <v>44049</v>
      </c>
      <c r="F56" s="5">
        <f t="shared" si="0"/>
        <v>219</v>
      </c>
      <c r="G56" s="2">
        <v>0.78611111111111109</v>
      </c>
      <c r="H56" s="1">
        <v>44050</v>
      </c>
      <c r="I56" s="2">
        <v>0.47569444444444442</v>
      </c>
      <c r="J56">
        <v>20</v>
      </c>
      <c r="K56" t="s">
        <v>10</v>
      </c>
      <c r="L56">
        <v>7</v>
      </c>
      <c r="M56">
        <v>1</v>
      </c>
      <c r="N56">
        <v>0</v>
      </c>
      <c r="O56">
        <v>0</v>
      </c>
      <c r="P56">
        <v>0</v>
      </c>
      <c r="Q56" s="10" t="s">
        <v>59</v>
      </c>
    </row>
    <row r="57" spans="1:17" x14ac:dyDescent="0.25">
      <c r="A57">
        <v>3</v>
      </c>
      <c r="B57" t="s">
        <v>20</v>
      </c>
      <c r="C57" t="s">
        <v>18</v>
      </c>
      <c r="D57">
        <v>2020</v>
      </c>
      <c r="E57" s="1">
        <v>44049</v>
      </c>
      <c r="F57" s="5">
        <f t="shared" si="0"/>
        <v>219</v>
      </c>
      <c r="G57" s="2">
        <v>0.78611111111111109</v>
      </c>
      <c r="H57" s="1">
        <v>44050</v>
      </c>
      <c r="I57" s="2">
        <v>0.47569444444444442</v>
      </c>
      <c r="J57">
        <v>10</v>
      </c>
      <c r="K57" t="s">
        <v>10</v>
      </c>
      <c r="L57">
        <v>6</v>
      </c>
      <c r="M57">
        <v>3</v>
      </c>
      <c r="N57">
        <v>0</v>
      </c>
      <c r="O57">
        <v>0</v>
      </c>
      <c r="P57">
        <v>0</v>
      </c>
      <c r="Q57" s="10" t="s">
        <v>59</v>
      </c>
    </row>
    <row r="58" spans="1:17" x14ac:dyDescent="0.25">
      <c r="A58">
        <v>3</v>
      </c>
      <c r="B58" t="s">
        <v>20</v>
      </c>
      <c r="C58" t="s">
        <v>18</v>
      </c>
      <c r="D58">
        <v>2020</v>
      </c>
      <c r="E58" s="1">
        <v>44049</v>
      </c>
      <c r="F58" s="5">
        <f t="shared" si="0"/>
        <v>219</v>
      </c>
      <c r="G58" s="2">
        <v>0.78611111111111109</v>
      </c>
      <c r="H58" s="1">
        <v>44050</v>
      </c>
      <c r="I58" s="2">
        <v>0.47569444444444442</v>
      </c>
      <c r="J58">
        <v>9</v>
      </c>
      <c r="K58" t="s">
        <v>10</v>
      </c>
      <c r="L58">
        <v>1</v>
      </c>
      <c r="M58">
        <v>2</v>
      </c>
      <c r="N58">
        <v>0</v>
      </c>
      <c r="O58">
        <v>0</v>
      </c>
      <c r="P58">
        <v>0</v>
      </c>
      <c r="Q58" s="10" t="s">
        <v>59</v>
      </c>
    </row>
    <row r="59" spans="1:17" x14ac:dyDescent="0.25">
      <c r="A59">
        <v>3</v>
      </c>
      <c r="B59" t="s">
        <v>20</v>
      </c>
      <c r="C59" t="s">
        <v>18</v>
      </c>
      <c r="D59">
        <v>2020</v>
      </c>
      <c r="E59" s="1">
        <v>44049</v>
      </c>
      <c r="F59" s="5">
        <f t="shared" si="0"/>
        <v>219</v>
      </c>
      <c r="G59" s="2">
        <v>0.78611111111111109</v>
      </c>
      <c r="H59" s="1">
        <v>44050</v>
      </c>
      <c r="I59" s="2">
        <v>0.47569444444444442</v>
      </c>
      <c r="J59">
        <v>6</v>
      </c>
      <c r="K59" t="s">
        <v>10</v>
      </c>
      <c r="L59">
        <v>8</v>
      </c>
      <c r="M59">
        <v>6</v>
      </c>
      <c r="N59">
        <v>0</v>
      </c>
      <c r="O59">
        <v>0</v>
      </c>
      <c r="P59">
        <v>0</v>
      </c>
      <c r="Q59" s="10" t="s">
        <v>59</v>
      </c>
    </row>
    <row r="60" spans="1:17" x14ac:dyDescent="0.25">
      <c r="A60">
        <v>3</v>
      </c>
      <c r="B60" t="s">
        <v>20</v>
      </c>
      <c r="C60" t="s">
        <v>18</v>
      </c>
      <c r="D60">
        <v>2020</v>
      </c>
      <c r="E60" s="1">
        <v>44049</v>
      </c>
      <c r="F60" s="5">
        <f t="shared" si="0"/>
        <v>219</v>
      </c>
      <c r="G60" s="2">
        <v>0.78611111111111109</v>
      </c>
      <c r="H60" s="1">
        <v>44050</v>
      </c>
      <c r="I60" s="2">
        <v>0.47569444444444442</v>
      </c>
      <c r="J60">
        <v>1</v>
      </c>
      <c r="K60" t="s">
        <v>10</v>
      </c>
      <c r="L60">
        <v>3</v>
      </c>
      <c r="M60">
        <v>3</v>
      </c>
      <c r="N60">
        <v>0</v>
      </c>
      <c r="O60">
        <v>0</v>
      </c>
      <c r="P60">
        <v>0</v>
      </c>
      <c r="Q60" s="10" t="s">
        <v>59</v>
      </c>
    </row>
    <row r="61" spans="1:17" x14ac:dyDescent="0.25">
      <c r="A61">
        <v>4</v>
      </c>
      <c r="B61" t="s">
        <v>18</v>
      </c>
      <c r="C61" t="s">
        <v>18</v>
      </c>
      <c r="D61">
        <v>2020</v>
      </c>
      <c r="E61" s="1">
        <v>44050</v>
      </c>
      <c r="F61" s="5">
        <f t="shared" si="0"/>
        <v>220</v>
      </c>
      <c r="G61" s="2">
        <v>0.80486111111111114</v>
      </c>
      <c r="H61" s="1">
        <v>44051</v>
      </c>
      <c r="I61" s="2">
        <v>0.46319444444444446</v>
      </c>
      <c r="J61">
        <v>16</v>
      </c>
      <c r="K61" t="s">
        <v>10</v>
      </c>
      <c r="L61">
        <v>10</v>
      </c>
      <c r="M61">
        <v>0</v>
      </c>
      <c r="N61">
        <v>0</v>
      </c>
      <c r="O61">
        <v>0</v>
      </c>
      <c r="P61">
        <v>0</v>
      </c>
      <c r="Q61" s="10" t="s">
        <v>59</v>
      </c>
    </row>
    <row r="62" spans="1:17" x14ac:dyDescent="0.25">
      <c r="A62">
        <v>4</v>
      </c>
      <c r="B62" t="s">
        <v>18</v>
      </c>
      <c r="C62" t="s">
        <v>18</v>
      </c>
      <c r="D62">
        <v>2020</v>
      </c>
      <c r="E62" s="1">
        <v>44050</v>
      </c>
      <c r="F62" s="5">
        <f t="shared" si="0"/>
        <v>220</v>
      </c>
      <c r="G62" s="2">
        <v>0.80486111111111114</v>
      </c>
      <c r="H62" s="1">
        <v>44051</v>
      </c>
      <c r="I62" s="2">
        <v>0.46319444444444446</v>
      </c>
      <c r="J62">
        <v>9</v>
      </c>
      <c r="K62" t="s">
        <v>10</v>
      </c>
      <c r="L62">
        <v>12</v>
      </c>
      <c r="M62">
        <v>1</v>
      </c>
      <c r="N62">
        <v>0</v>
      </c>
      <c r="O62">
        <v>0</v>
      </c>
      <c r="P62">
        <v>0</v>
      </c>
      <c r="Q62" s="10" t="s">
        <v>59</v>
      </c>
    </row>
    <row r="63" spans="1:17" x14ac:dyDescent="0.25">
      <c r="A63">
        <v>4</v>
      </c>
      <c r="B63" t="s">
        <v>18</v>
      </c>
      <c r="C63" t="s">
        <v>18</v>
      </c>
      <c r="D63">
        <v>2020</v>
      </c>
      <c r="E63" s="1">
        <v>44050</v>
      </c>
      <c r="F63" s="5">
        <f t="shared" si="0"/>
        <v>220</v>
      </c>
      <c r="G63" s="2">
        <v>0.80486111111111114</v>
      </c>
      <c r="H63" s="1">
        <v>44051</v>
      </c>
      <c r="I63" s="2">
        <v>0.46319444444444446</v>
      </c>
      <c r="J63">
        <v>5</v>
      </c>
      <c r="K63" t="s">
        <v>10</v>
      </c>
      <c r="L63">
        <v>8</v>
      </c>
      <c r="M63">
        <v>1</v>
      </c>
      <c r="N63">
        <v>0</v>
      </c>
      <c r="O63">
        <v>0</v>
      </c>
      <c r="P63">
        <v>0</v>
      </c>
      <c r="Q63" s="10" t="s">
        <v>59</v>
      </c>
    </row>
    <row r="64" spans="1:17" x14ac:dyDescent="0.25">
      <c r="A64">
        <v>4</v>
      </c>
      <c r="B64" t="s">
        <v>18</v>
      </c>
      <c r="C64" t="s">
        <v>18</v>
      </c>
      <c r="D64">
        <v>2020</v>
      </c>
      <c r="E64" s="1">
        <v>44050</v>
      </c>
      <c r="F64" s="5">
        <f t="shared" si="0"/>
        <v>220</v>
      </c>
      <c r="G64" s="2">
        <v>0.80486111111111114</v>
      </c>
      <c r="H64" s="1">
        <v>44051</v>
      </c>
      <c r="I64" s="2">
        <v>0.46319444444444446</v>
      </c>
      <c r="J64">
        <v>3</v>
      </c>
      <c r="K64" t="s">
        <v>10</v>
      </c>
      <c r="L64">
        <v>4</v>
      </c>
      <c r="M64">
        <v>0</v>
      </c>
      <c r="N64">
        <v>0</v>
      </c>
      <c r="O64">
        <v>0</v>
      </c>
      <c r="P64">
        <v>0</v>
      </c>
      <c r="Q64" s="10" t="s">
        <v>59</v>
      </c>
    </row>
    <row r="65" spans="1:18" x14ac:dyDescent="0.25">
      <c r="A65">
        <v>4</v>
      </c>
      <c r="B65" t="s">
        <v>18</v>
      </c>
      <c r="C65" t="s">
        <v>18</v>
      </c>
      <c r="D65">
        <v>2020</v>
      </c>
      <c r="E65" s="1">
        <v>44050</v>
      </c>
      <c r="F65" s="5">
        <f t="shared" si="0"/>
        <v>220</v>
      </c>
      <c r="G65" s="2">
        <v>0.80486111111111114</v>
      </c>
      <c r="H65" s="1">
        <v>44051</v>
      </c>
      <c r="I65" s="2">
        <v>0.46319444444444446</v>
      </c>
      <c r="J65">
        <v>2</v>
      </c>
      <c r="K65" t="s">
        <v>10</v>
      </c>
      <c r="L65">
        <v>6</v>
      </c>
      <c r="M65">
        <v>3</v>
      </c>
      <c r="N65">
        <v>0</v>
      </c>
      <c r="O65">
        <v>0</v>
      </c>
      <c r="P65">
        <v>0</v>
      </c>
      <c r="Q65" s="10" t="s">
        <v>59</v>
      </c>
    </row>
    <row r="66" spans="1:18" x14ac:dyDescent="0.25">
      <c r="A66">
        <v>5</v>
      </c>
      <c r="B66" t="s">
        <v>22</v>
      </c>
      <c r="C66" t="s">
        <v>23</v>
      </c>
      <c r="D66">
        <v>2020</v>
      </c>
      <c r="E66" s="1">
        <v>44051</v>
      </c>
      <c r="F66" s="5">
        <f t="shared" ref="F66:F129" si="1">E66-DATE(YEAR(E66),1,0)</f>
        <v>221</v>
      </c>
      <c r="G66" s="2">
        <v>0.8208333333333333</v>
      </c>
      <c r="H66" s="1">
        <v>44052</v>
      </c>
      <c r="I66" s="2">
        <v>0.45833333333333331</v>
      </c>
      <c r="J66">
        <v>20</v>
      </c>
      <c r="K66" t="s">
        <v>10</v>
      </c>
      <c r="L66">
        <v>10</v>
      </c>
      <c r="M66">
        <v>1</v>
      </c>
      <c r="N66">
        <v>0</v>
      </c>
      <c r="O66">
        <v>0</v>
      </c>
      <c r="P66">
        <v>0</v>
      </c>
      <c r="Q66" s="10" t="s">
        <v>59</v>
      </c>
      <c r="R66" t="s">
        <v>27</v>
      </c>
    </row>
    <row r="67" spans="1:18" x14ac:dyDescent="0.25">
      <c r="A67">
        <v>5</v>
      </c>
      <c r="B67" t="s">
        <v>22</v>
      </c>
      <c r="C67" t="s">
        <v>23</v>
      </c>
      <c r="D67">
        <v>2020</v>
      </c>
      <c r="E67" s="1">
        <v>44051</v>
      </c>
      <c r="F67" s="5">
        <f t="shared" si="1"/>
        <v>221</v>
      </c>
      <c r="G67" s="2">
        <v>0.8208333333333333</v>
      </c>
      <c r="H67" s="1">
        <v>44052</v>
      </c>
      <c r="I67" s="2">
        <v>0.45833333333333331</v>
      </c>
      <c r="J67">
        <v>10</v>
      </c>
      <c r="K67" t="s">
        <v>10</v>
      </c>
      <c r="L67">
        <v>6</v>
      </c>
      <c r="M67">
        <v>2</v>
      </c>
      <c r="N67">
        <v>0</v>
      </c>
      <c r="O67">
        <v>0</v>
      </c>
      <c r="P67">
        <v>0</v>
      </c>
      <c r="Q67" s="10" t="s">
        <v>59</v>
      </c>
    </row>
    <row r="68" spans="1:18" x14ac:dyDescent="0.25">
      <c r="A68">
        <v>5</v>
      </c>
      <c r="B68" t="s">
        <v>22</v>
      </c>
      <c r="C68" t="s">
        <v>23</v>
      </c>
      <c r="D68">
        <v>2020</v>
      </c>
      <c r="E68" s="1">
        <v>44051</v>
      </c>
      <c r="F68" s="5">
        <f t="shared" si="1"/>
        <v>221</v>
      </c>
      <c r="G68" s="2">
        <v>0.8208333333333333</v>
      </c>
      <c r="H68" s="1">
        <v>44052</v>
      </c>
      <c r="I68" s="2">
        <v>0.45833333333333331</v>
      </c>
      <c r="J68">
        <v>5</v>
      </c>
      <c r="K68" t="s">
        <v>10</v>
      </c>
      <c r="L68">
        <v>2</v>
      </c>
      <c r="M68">
        <v>3</v>
      </c>
      <c r="N68">
        <v>0</v>
      </c>
      <c r="O68">
        <v>0</v>
      </c>
      <c r="P68">
        <v>0</v>
      </c>
      <c r="Q68" s="10" t="s">
        <v>59</v>
      </c>
    </row>
    <row r="69" spans="1:18" x14ac:dyDescent="0.25">
      <c r="A69">
        <v>5</v>
      </c>
      <c r="B69" t="s">
        <v>22</v>
      </c>
      <c r="C69" t="s">
        <v>23</v>
      </c>
      <c r="D69">
        <v>2020</v>
      </c>
      <c r="E69" s="1">
        <v>44051</v>
      </c>
      <c r="F69" s="5">
        <f t="shared" si="1"/>
        <v>221</v>
      </c>
      <c r="G69" s="2">
        <v>0.8208333333333333</v>
      </c>
      <c r="H69" s="1">
        <v>44052</v>
      </c>
      <c r="I69" s="2">
        <v>0.45833333333333331</v>
      </c>
      <c r="J69">
        <v>4</v>
      </c>
      <c r="K69" t="s">
        <v>10</v>
      </c>
      <c r="L69">
        <v>4</v>
      </c>
      <c r="M69">
        <v>1</v>
      </c>
      <c r="N69">
        <v>0</v>
      </c>
      <c r="O69">
        <v>0</v>
      </c>
      <c r="P69">
        <v>0</v>
      </c>
      <c r="Q69" s="10" t="s">
        <v>59</v>
      </c>
    </row>
    <row r="70" spans="1:18" x14ac:dyDescent="0.25">
      <c r="A70">
        <v>5</v>
      </c>
      <c r="B70" t="s">
        <v>22</v>
      </c>
      <c r="C70" t="s">
        <v>23</v>
      </c>
      <c r="D70">
        <v>2020</v>
      </c>
      <c r="E70" s="1">
        <v>44051</v>
      </c>
      <c r="F70" s="5">
        <f t="shared" si="1"/>
        <v>221</v>
      </c>
      <c r="G70" s="2">
        <v>0.8208333333333333</v>
      </c>
      <c r="H70" s="1">
        <v>44052</v>
      </c>
      <c r="I70" s="2">
        <v>0.45833333333333331</v>
      </c>
      <c r="J70">
        <v>2</v>
      </c>
      <c r="K70" t="s">
        <v>10</v>
      </c>
      <c r="L70">
        <v>0</v>
      </c>
      <c r="M70">
        <v>0</v>
      </c>
      <c r="N70">
        <v>0</v>
      </c>
      <c r="O70">
        <v>0</v>
      </c>
      <c r="P70">
        <v>0</v>
      </c>
      <c r="Q70" s="10" t="s">
        <v>59</v>
      </c>
      <c r="R70" t="s">
        <v>26</v>
      </c>
    </row>
    <row r="71" spans="1:18" x14ac:dyDescent="0.25">
      <c r="A71">
        <v>6</v>
      </c>
      <c r="B71" t="s">
        <v>28</v>
      </c>
      <c r="C71" t="s">
        <v>18</v>
      </c>
      <c r="D71">
        <v>2020</v>
      </c>
      <c r="E71" s="1">
        <v>44054</v>
      </c>
      <c r="F71" s="5">
        <f t="shared" si="1"/>
        <v>224</v>
      </c>
      <c r="G71" s="2">
        <v>0.88541666666666663</v>
      </c>
      <c r="H71" s="1">
        <v>44055</v>
      </c>
      <c r="I71" s="2">
        <v>0.4375</v>
      </c>
      <c r="J71">
        <v>14</v>
      </c>
      <c r="K71" t="s">
        <v>10</v>
      </c>
      <c r="L71">
        <v>0</v>
      </c>
      <c r="M71">
        <v>1</v>
      </c>
      <c r="N71">
        <v>0</v>
      </c>
      <c r="O71">
        <v>0</v>
      </c>
      <c r="P71">
        <v>0</v>
      </c>
      <c r="Q71" s="10" t="s">
        <v>59</v>
      </c>
    </row>
    <row r="72" spans="1:18" x14ac:dyDescent="0.25">
      <c r="A72">
        <v>6</v>
      </c>
      <c r="B72" t="s">
        <v>28</v>
      </c>
      <c r="C72" t="s">
        <v>18</v>
      </c>
      <c r="D72">
        <v>2020</v>
      </c>
      <c r="E72" s="1">
        <v>44054</v>
      </c>
      <c r="F72" s="5">
        <f t="shared" si="1"/>
        <v>224</v>
      </c>
      <c r="G72" s="2">
        <v>0.88541666666666663</v>
      </c>
      <c r="H72" s="1">
        <v>44055</v>
      </c>
      <c r="I72" s="2">
        <v>0.4375</v>
      </c>
      <c r="J72">
        <v>11</v>
      </c>
      <c r="K72" t="s">
        <v>10</v>
      </c>
      <c r="L72">
        <v>3</v>
      </c>
      <c r="M72">
        <v>52</v>
      </c>
      <c r="N72">
        <v>0</v>
      </c>
      <c r="O72">
        <v>0</v>
      </c>
      <c r="P72">
        <v>0</v>
      </c>
      <c r="Q72" s="10" t="s">
        <v>59</v>
      </c>
    </row>
    <row r="73" spans="1:18" x14ac:dyDescent="0.25">
      <c r="A73">
        <v>6</v>
      </c>
      <c r="B73" t="s">
        <v>28</v>
      </c>
      <c r="C73" t="s">
        <v>18</v>
      </c>
      <c r="D73">
        <v>2020</v>
      </c>
      <c r="E73" s="1">
        <v>44054</v>
      </c>
      <c r="F73" s="5">
        <f t="shared" si="1"/>
        <v>224</v>
      </c>
      <c r="G73" s="2">
        <v>0.88541666666666663</v>
      </c>
      <c r="H73" s="1">
        <v>44055</v>
      </c>
      <c r="I73" s="2">
        <v>0.4375</v>
      </c>
      <c r="J73">
        <v>10</v>
      </c>
      <c r="K73" t="s">
        <v>10</v>
      </c>
      <c r="L73">
        <v>2</v>
      </c>
      <c r="M73">
        <v>6</v>
      </c>
      <c r="N73">
        <v>0</v>
      </c>
      <c r="O73">
        <v>0</v>
      </c>
      <c r="P73">
        <v>0</v>
      </c>
      <c r="Q73" s="10" t="s">
        <v>59</v>
      </c>
    </row>
    <row r="74" spans="1:18" x14ac:dyDescent="0.25">
      <c r="A74">
        <v>6</v>
      </c>
      <c r="B74" t="s">
        <v>28</v>
      </c>
      <c r="C74" t="s">
        <v>18</v>
      </c>
      <c r="D74">
        <v>2020</v>
      </c>
      <c r="E74" s="1">
        <v>44054</v>
      </c>
      <c r="F74" s="5">
        <f t="shared" si="1"/>
        <v>224</v>
      </c>
      <c r="G74" s="2">
        <v>0.88541666666666663</v>
      </c>
      <c r="H74" s="1">
        <v>44055</v>
      </c>
      <c r="I74" s="2">
        <v>0.4375</v>
      </c>
      <c r="J74">
        <v>9</v>
      </c>
      <c r="K74" t="s">
        <v>10</v>
      </c>
      <c r="L74">
        <v>4</v>
      </c>
      <c r="M74">
        <v>15</v>
      </c>
      <c r="N74">
        <v>0</v>
      </c>
      <c r="O74">
        <v>0</v>
      </c>
      <c r="P74">
        <v>0</v>
      </c>
      <c r="Q74" s="10" t="s">
        <v>59</v>
      </c>
    </row>
    <row r="75" spans="1:18" x14ac:dyDescent="0.25">
      <c r="A75">
        <v>6</v>
      </c>
      <c r="B75" t="s">
        <v>28</v>
      </c>
      <c r="C75" t="s">
        <v>18</v>
      </c>
      <c r="D75">
        <v>2020</v>
      </c>
      <c r="E75" s="1">
        <v>44054</v>
      </c>
      <c r="F75" s="5">
        <f t="shared" si="1"/>
        <v>224</v>
      </c>
      <c r="G75" s="2">
        <v>0.88541666666666663</v>
      </c>
      <c r="H75" s="1">
        <v>44055</v>
      </c>
      <c r="I75" s="2">
        <v>0.4375</v>
      </c>
      <c r="J75">
        <v>2</v>
      </c>
      <c r="K75" t="s">
        <v>10</v>
      </c>
      <c r="L75">
        <v>4</v>
      </c>
      <c r="M75">
        <v>2</v>
      </c>
      <c r="N75">
        <v>0</v>
      </c>
      <c r="O75">
        <v>0</v>
      </c>
      <c r="P75">
        <v>0</v>
      </c>
      <c r="Q75" s="10" t="s">
        <v>59</v>
      </c>
    </row>
    <row r="76" spans="1:18" x14ac:dyDescent="0.25">
      <c r="A76">
        <v>7</v>
      </c>
      <c r="B76" t="s">
        <v>36</v>
      </c>
      <c r="C76" t="s">
        <v>18</v>
      </c>
      <c r="D76">
        <v>2025</v>
      </c>
      <c r="E76" s="1">
        <v>45885</v>
      </c>
      <c r="F76" s="5">
        <f t="shared" si="1"/>
        <v>228</v>
      </c>
      <c r="G76" s="2">
        <v>0.82430555555555551</v>
      </c>
      <c r="H76" s="1">
        <v>45886</v>
      </c>
      <c r="I76" s="2">
        <v>0.41666666666666669</v>
      </c>
      <c r="J76">
        <v>3</v>
      </c>
      <c r="K76" t="s">
        <v>10</v>
      </c>
      <c r="L76">
        <v>0</v>
      </c>
      <c r="M76">
        <v>0</v>
      </c>
      <c r="N76">
        <v>0</v>
      </c>
      <c r="O76">
        <v>0</v>
      </c>
      <c r="P76">
        <v>0</v>
      </c>
      <c r="Q76" s="10" t="s">
        <v>59</v>
      </c>
    </row>
    <row r="77" spans="1:18" x14ac:dyDescent="0.25">
      <c r="A77">
        <v>7</v>
      </c>
      <c r="B77" t="s">
        <v>36</v>
      </c>
      <c r="C77" t="s">
        <v>18</v>
      </c>
      <c r="D77">
        <v>2025</v>
      </c>
      <c r="E77" s="1">
        <v>45885</v>
      </c>
      <c r="F77" s="5">
        <f t="shared" si="1"/>
        <v>228</v>
      </c>
      <c r="G77" s="2">
        <v>0.82430555555555551</v>
      </c>
      <c r="H77" s="1">
        <v>45886</v>
      </c>
      <c r="I77" s="2">
        <v>0.41666666666666669</v>
      </c>
      <c r="J77">
        <v>7</v>
      </c>
      <c r="K77" t="s">
        <v>10</v>
      </c>
      <c r="L77">
        <v>0</v>
      </c>
      <c r="M77">
        <v>1</v>
      </c>
      <c r="N77">
        <v>0</v>
      </c>
      <c r="O77">
        <v>0</v>
      </c>
      <c r="P77">
        <v>0</v>
      </c>
      <c r="Q77" s="10" t="s">
        <v>59</v>
      </c>
    </row>
    <row r="78" spans="1:18" x14ac:dyDescent="0.25">
      <c r="A78">
        <v>7</v>
      </c>
      <c r="B78" t="s">
        <v>36</v>
      </c>
      <c r="C78" t="s">
        <v>18</v>
      </c>
      <c r="D78">
        <v>2025</v>
      </c>
      <c r="E78" s="1">
        <v>45885</v>
      </c>
      <c r="F78" s="5">
        <f t="shared" si="1"/>
        <v>228</v>
      </c>
      <c r="G78" s="2">
        <v>0.82430555555555551</v>
      </c>
      <c r="H78" s="1">
        <v>45886</v>
      </c>
      <c r="I78" s="2">
        <v>0.41666666666666669</v>
      </c>
      <c r="J78">
        <v>10</v>
      </c>
      <c r="K78" t="s">
        <v>10</v>
      </c>
      <c r="L78">
        <v>2</v>
      </c>
      <c r="M78">
        <v>0</v>
      </c>
      <c r="N78">
        <v>0</v>
      </c>
      <c r="O78">
        <v>0</v>
      </c>
      <c r="P78">
        <v>0</v>
      </c>
      <c r="Q78" s="10" t="s">
        <v>59</v>
      </c>
    </row>
    <row r="79" spans="1:18" x14ac:dyDescent="0.25">
      <c r="A79">
        <v>7</v>
      </c>
      <c r="B79" t="s">
        <v>36</v>
      </c>
      <c r="C79" t="s">
        <v>18</v>
      </c>
      <c r="D79">
        <v>2025</v>
      </c>
      <c r="E79" s="1">
        <v>45885</v>
      </c>
      <c r="F79" s="5">
        <f t="shared" si="1"/>
        <v>228</v>
      </c>
      <c r="G79" s="2">
        <v>0.82430555555555551</v>
      </c>
      <c r="H79" s="1">
        <v>45886</v>
      </c>
      <c r="I79" s="2">
        <v>0.41666666666666669</v>
      </c>
      <c r="J79">
        <v>13</v>
      </c>
      <c r="K79" t="s">
        <v>10</v>
      </c>
      <c r="L79">
        <v>0</v>
      </c>
      <c r="M79">
        <v>0</v>
      </c>
      <c r="N79">
        <v>0</v>
      </c>
      <c r="O79">
        <v>0</v>
      </c>
      <c r="P79">
        <v>0</v>
      </c>
      <c r="Q79" s="10" t="s">
        <v>59</v>
      </c>
    </row>
    <row r="80" spans="1:18" x14ac:dyDescent="0.25">
      <c r="A80">
        <v>7</v>
      </c>
      <c r="B80" t="s">
        <v>36</v>
      </c>
      <c r="C80" t="s">
        <v>18</v>
      </c>
      <c r="D80">
        <v>2025</v>
      </c>
      <c r="E80" s="1">
        <v>45885</v>
      </c>
      <c r="F80" s="5">
        <f t="shared" si="1"/>
        <v>228</v>
      </c>
      <c r="G80" s="2">
        <v>0.82430555555555551</v>
      </c>
      <c r="H80" s="1">
        <v>45886</v>
      </c>
      <c r="I80" s="2">
        <v>0.41666666666666669</v>
      </c>
      <c r="J80">
        <v>19</v>
      </c>
      <c r="K80" t="s">
        <v>10</v>
      </c>
      <c r="L80">
        <v>0</v>
      </c>
      <c r="M80">
        <v>0</v>
      </c>
      <c r="N80">
        <v>0</v>
      </c>
      <c r="O80">
        <v>0</v>
      </c>
      <c r="P80">
        <v>0</v>
      </c>
      <c r="Q80" s="10" t="s">
        <v>59</v>
      </c>
    </row>
    <row r="81" spans="1:17" x14ac:dyDescent="0.25">
      <c r="A81">
        <v>8</v>
      </c>
      <c r="B81" t="s">
        <v>18</v>
      </c>
      <c r="C81" t="s">
        <v>18</v>
      </c>
      <c r="D81">
        <v>2025</v>
      </c>
      <c r="E81" s="1">
        <v>45887</v>
      </c>
      <c r="F81" s="5">
        <f t="shared" si="1"/>
        <v>230</v>
      </c>
      <c r="G81" s="2">
        <v>0.85416666666666663</v>
      </c>
      <c r="H81" s="1">
        <v>45888</v>
      </c>
      <c r="I81" s="2">
        <v>0.40625</v>
      </c>
      <c r="J81">
        <v>3</v>
      </c>
      <c r="K81" t="s">
        <v>10</v>
      </c>
      <c r="L81">
        <v>0</v>
      </c>
      <c r="M81">
        <v>0</v>
      </c>
      <c r="N81">
        <v>0</v>
      </c>
      <c r="O81">
        <v>0</v>
      </c>
      <c r="P81">
        <v>0</v>
      </c>
      <c r="Q81" s="10" t="s">
        <v>59</v>
      </c>
    </row>
    <row r="82" spans="1:17" x14ac:dyDescent="0.25">
      <c r="A82">
        <v>8</v>
      </c>
      <c r="B82" t="s">
        <v>18</v>
      </c>
      <c r="C82" t="s">
        <v>18</v>
      </c>
      <c r="D82">
        <v>2025</v>
      </c>
      <c r="E82" s="1">
        <v>45887</v>
      </c>
      <c r="F82" s="5">
        <f t="shared" si="1"/>
        <v>230</v>
      </c>
      <c r="G82" s="2">
        <v>0.85416666666666663</v>
      </c>
      <c r="H82" s="1">
        <v>45888</v>
      </c>
      <c r="I82" s="2">
        <v>0.40625</v>
      </c>
      <c r="J82">
        <v>5</v>
      </c>
      <c r="K82" t="s">
        <v>10</v>
      </c>
      <c r="L82">
        <v>1</v>
      </c>
      <c r="M82">
        <v>0</v>
      </c>
      <c r="N82">
        <v>0</v>
      </c>
      <c r="O82">
        <v>0</v>
      </c>
      <c r="P82">
        <v>0</v>
      </c>
      <c r="Q82" s="10" t="s">
        <v>59</v>
      </c>
    </row>
    <row r="83" spans="1:17" x14ac:dyDescent="0.25">
      <c r="A83">
        <v>8</v>
      </c>
      <c r="B83" t="s">
        <v>18</v>
      </c>
      <c r="C83" t="s">
        <v>18</v>
      </c>
      <c r="D83">
        <v>2025</v>
      </c>
      <c r="E83" s="1">
        <v>45887</v>
      </c>
      <c r="F83" s="5">
        <f t="shared" si="1"/>
        <v>230</v>
      </c>
      <c r="G83" s="2">
        <v>0.85416666666666663</v>
      </c>
      <c r="H83" s="1">
        <v>45888</v>
      </c>
      <c r="I83" s="2">
        <v>0.40625</v>
      </c>
      <c r="J83">
        <v>6</v>
      </c>
      <c r="K83" t="s">
        <v>10</v>
      </c>
      <c r="L83">
        <v>1</v>
      </c>
      <c r="M83">
        <v>4</v>
      </c>
      <c r="N83">
        <v>0</v>
      </c>
      <c r="O83">
        <v>0</v>
      </c>
      <c r="P83">
        <v>0</v>
      </c>
      <c r="Q83" s="10" t="s">
        <v>59</v>
      </c>
    </row>
    <row r="84" spans="1:17" x14ac:dyDescent="0.25">
      <c r="A84">
        <v>8</v>
      </c>
      <c r="B84" t="s">
        <v>18</v>
      </c>
      <c r="C84" t="s">
        <v>18</v>
      </c>
      <c r="D84">
        <v>2025</v>
      </c>
      <c r="E84" s="1">
        <v>45887</v>
      </c>
      <c r="F84" s="5">
        <f t="shared" si="1"/>
        <v>230</v>
      </c>
      <c r="G84" s="2">
        <v>0.85416666666666663</v>
      </c>
      <c r="H84" s="1">
        <v>45888</v>
      </c>
      <c r="I84" s="2">
        <v>0.40625</v>
      </c>
      <c r="J84">
        <v>12</v>
      </c>
      <c r="K84" t="s">
        <v>10</v>
      </c>
      <c r="L84">
        <v>0</v>
      </c>
      <c r="M84">
        <v>2</v>
      </c>
      <c r="N84">
        <v>0</v>
      </c>
      <c r="O84">
        <v>0</v>
      </c>
      <c r="P84">
        <v>0</v>
      </c>
      <c r="Q84" s="10" t="s">
        <v>59</v>
      </c>
    </row>
    <row r="85" spans="1:17" x14ac:dyDescent="0.25">
      <c r="A85">
        <v>8</v>
      </c>
      <c r="B85" t="s">
        <v>18</v>
      </c>
      <c r="C85" t="s">
        <v>18</v>
      </c>
      <c r="D85">
        <v>2025</v>
      </c>
      <c r="E85" s="1">
        <v>45887</v>
      </c>
      <c r="F85" s="5">
        <f t="shared" si="1"/>
        <v>230</v>
      </c>
      <c r="G85" s="2">
        <v>0.85416666666666663</v>
      </c>
      <c r="H85" s="1">
        <v>45888</v>
      </c>
      <c r="I85" s="2">
        <v>0.40625</v>
      </c>
      <c r="J85">
        <v>14</v>
      </c>
      <c r="K85" t="s">
        <v>10</v>
      </c>
      <c r="L85">
        <v>0</v>
      </c>
      <c r="M85">
        <v>16</v>
      </c>
      <c r="N85">
        <v>0</v>
      </c>
      <c r="O85">
        <v>0</v>
      </c>
      <c r="P85">
        <v>0</v>
      </c>
      <c r="Q85" s="10" t="s">
        <v>59</v>
      </c>
    </row>
    <row r="86" spans="1:17" x14ac:dyDescent="0.25">
      <c r="A86">
        <v>9</v>
      </c>
      <c r="B86" t="s">
        <v>18</v>
      </c>
      <c r="C86" t="s">
        <v>18</v>
      </c>
      <c r="D86">
        <v>2025</v>
      </c>
      <c r="E86" s="1">
        <v>45888</v>
      </c>
      <c r="F86" s="5">
        <f t="shared" si="1"/>
        <v>231</v>
      </c>
      <c r="G86" s="2">
        <v>0.82291666666666663</v>
      </c>
      <c r="H86" s="1">
        <v>45889</v>
      </c>
      <c r="I86" s="2">
        <v>0.41666666666666669</v>
      </c>
      <c r="J86">
        <v>1</v>
      </c>
      <c r="K86" t="s">
        <v>10</v>
      </c>
      <c r="L86">
        <v>0</v>
      </c>
      <c r="M86">
        <v>1</v>
      </c>
      <c r="N86">
        <v>0</v>
      </c>
      <c r="O86">
        <v>0</v>
      </c>
      <c r="P86">
        <v>0</v>
      </c>
      <c r="Q86" s="10" t="s">
        <v>59</v>
      </c>
    </row>
    <row r="87" spans="1:17" x14ac:dyDescent="0.25">
      <c r="A87">
        <v>9</v>
      </c>
      <c r="B87" t="s">
        <v>18</v>
      </c>
      <c r="C87" t="s">
        <v>18</v>
      </c>
      <c r="D87">
        <v>2025</v>
      </c>
      <c r="E87" s="1">
        <v>45888</v>
      </c>
      <c r="F87" s="5">
        <f t="shared" si="1"/>
        <v>231</v>
      </c>
      <c r="G87" s="2">
        <v>0.82291666666666663</v>
      </c>
      <c r="H87" s="1">
        <v>45889</v>
      </c>
      <c r="I87" s="2">
        <v>0.41666666666666669</v>
      </c>
      <c r="J87">
        <v>4</v>
      </c>
      <c r="K87" t="s">
        <v>10</v>
      </c>
      <c r="L87">
        <v>2</v>
      </c>
      <c r="M87">
        <v>1</v>
      </c>
      <c r="N87">
        <v>0</v>
      </c>
      <c r="O87">
        <v>0</v>
      </c>
      <c r="P87">
        <v>0</v>
      </c>
      <c r="Q87" s="10" t="s">
        <v>59</v>
      </c>
    </row>
    <row r="88" spans="1:17" x14ac:dyDescent="0.25">
      <c r="A88">
        <v>9</v>
      </c>
      <c r="B88" t="s">
        <v>18</v>
      </c>
      <c r="C88" t="s">
        <v>18</v>
      </c>
      <c r="D88">
        <v>2025</v>
      </c>
      <c r="E88" s="1">
        <v>45888</v>
      </c>
      <c r="F88" s="5">
        <f t="shared" si="1"/>
        <v>231</v>
      </c>
      <c r="G88" s="2">
        <v>0.82291666666666663</v>
      </c>
      <c r="H88" s="1">
        <v>45889</v>
      </c>
      <c r="I88" s="2">
        <v>0.41666666666666669</v>
      </c>
      <c r="J88">
        <v>15</v>
      </c>
      <c r="K88" t="s">
        <v>10</v>
      </c>
      <c r="L88">
        <v>1</v>
      </c>
      <c r="M88">
        <v>0</v>
      </c>
      <c r="N88">
        <v>0</v>
      </c>
      <c r="O88">
        <v>0</v>
      </c>
      <c r="P88">
        <v>0</v>
      </c>
      <c r="Q88" s="10" t="s">
        <v>59</v>
      </c>
    </row>
    <row r="89" spans="1:17" x14ac:dyDescent="0.25">
      <c r="A89">
        <v>9</v>
      </c>
      <c r="B89" t="s">
        <v>18</v>
      </c>
      <c r="C89" t="s">
        <v>18</v>
      </c>
      <c r="D89">
        <v>2025</v>
      </c>
      <c r="E89" s="1">
        <v>45888</v>
      </c>
      <c r="F89" s="5">
        <f t="shared" si="1"/>
        <v>231</v>
      </c>
      <c r="G89" s="2">
        <v>0.82291666666666663</v>
      </c>
      <c r="H89" s="1">
        <v>45889</v>
      </c>
      <c r="I89" s="2">
        <v>0.41666666666666669</v>
      </c>
      <c r="J89">
        <v>19</v>
      </c>
      <c r="K89" t="s">
        <v>10</v>
      </c>
      <c r="L89">
        <v>0</v>
      </c>
      <c r="M89">
        <v>0</v>
      </c>
      <c r="N89">
        <v>0</v>
      </c>
      <c r="O89">
        <v>0</v>
      </c>
      <c r="P89">
        <v>0</v>
      </c>
      <c r="Q89" s="10" t="s">
        <v>59</v>
      </c>
    </row>
    <row r="90" spans="1:17" x14ac:dyDescent="0.25">
      <c r="A90">
        <v>9</v>
      </c>
      <c r="B90" t="s">
        <v>18</v>
      </c>
      <c r="C90" t="s">
        <v>18</v>
      </c>
      <c r="D90">
        <v>2025</v>
      </c>
      <c r="E90" s="1">
        <v>45888</v>
      </c>
      <c r="F90" s="5">
        <f t="shared" si="1"/>
        <v>231</v>
      </c>
      <c r="G90" s="2">
        <v>0.82291666666666663</v>
      </c>
      <c r="H90" s="1">
        <v>45889</v>
      </c>
      <c r="I90" s="2">
        <v>0.41666666666666669</v>
      </c>
      <c r="J90">
        <v>20</v>
      </c>
      <c r="K90" t="s">
        <v>10</v>
      </c>
      <c r="L90">
        <v>0</v>
      </c>
      <c r="M90">
        <v>0</v>
      </c>
      <c r="N90">
        <v>0</v>
      </c>
      <c r="O90">
        <v>0</v>
      </c>
      <c r="P90">
        <v>0</v>
      </c>
      <c r="Q90" s="10" t="s">
        <v>59</v>
      </c>
    </row>
    <row r="91" spans="1:17" x14ac:dyDescent="0.25">
      <c r="A91">
        <v>10</v>
      </c>
      <c r="B91" t="s">
        <v>18</v>
      </c>
      <c r="C91" t="s">
        <v>18</v>
      </c>
      <c r="D91">
        <v>2025</v>
      </c>
      <c r="E91" s="1">
        <v>45889</v>
      </c>
      <c r="F91" s="5">
        <f t="shared" si="1"/>
        <v>232</v>
      </c>
      <c r="G91" s="2">
        <v>0.88541666666666663</v>
      </c>
      <c r="H91" s="1">
        <v>45890</v>
      </c>
      <c r="I91" s="2">
        <v>0.40625</v>
      </c>
      <c r="J91">
        <v>1</v>
      </c>
      <c r="K91" t="s">
        <v>10</v>
      </c>
      <c r="L91">
        <v>2</v>
      </c>
      <c r="M91">
        <v>2</v>
      </c>
      <c r="N91">
        <v>0</v>
      </c>
      <c r="O91">
        <v>0</v>
      </c>
      <c r="P91">
        <v>0</v>
      </c>
      <c r="Q91" s="10" t="s">
        <v>59</v>
      </c>
    </row>
    <row r="92" spans="1:17" x14ac:dyDescent="0.25">
      <c r="A92">
        <v>10</v>
      </c>
      <c r="B92" t="s">
        <v>18</v>
      </c>
      <c r="C92" t="s">
        <v>18</v>
      </c>
      <c r="D92">
        <v>2025</v>
      </c>
      <c r="E92" s="1">
        <v>45889</v>
      </c>
      <c r="F92" s="5">
        <f t="shared" si="1"/>
        <v>232</v>
      </c>
      <c r="G92" s="2">
        <v>0.88541666666666663</v>
      </c>
      <c r="H92" s="1">
        <v>45890</v>
      </c>
      <c r="I92" s="2">
        <v>0.40625</v>
      </c>
      <c r="J92">
        <v>6</v>
      </c>
      <c r="K92" t="s">
        <v>10</v>
      </c>
      <c r="L92">
        <v>0</v>
      </c>
      <c r="M92">
        <v>1</v>
      </c>
      <c r="N92">
        <v>0</v>
      </c>
      <c r="O92">
        <v>0</v>
      </c>
      <c r="P92">
        <v>0</v>
      </c>
      <c r="Q92" s="10" t="s">
        <v>59</v>
      </c>
    </row>
    <row r="93" spans="1:17" x14ac:dyDescent="0.25">
      <c r="A93">
        <v>10</v>
      </c>
      <c r="B93" t="s">
        <v>18</v>
      </c>
      <c r="C93" t="s">
        <v>18</v>
      </c>
      <c r="D93">
        <v>2025</v>
      </c>
      <c r="E93" s="1">
        <v>45889</v>
      </c>
      <c r="F93" s="5">
        <f t="shared" si="1"/>
        <v>232</v>
      </c>
      <c r="G93" s="2">
        <v>0.88541666666666663</v>
      </c>
      <c r="H93" s="1">
        <v>45890</v>
      </c>
      <c r="I93" s="2">
        <v>0.40625</v>
      </c>
      <c r="J93">
        <v>9</v>
      </c>
      <c r="K93" t="s">
        <v>10</v>
      </c>
      <c r="L93">
        <v>1</v>
      </c>
      <c r="M93">
        <v>0</v>
      </c>
      <c r="N93">
        <v>0</v>
      </c>
      <c r="O93">
        <v>0</v>
      </c>
      <c r="P93">
        <v>0</v>
      </c>
      <c r="Q93" s="10" t="s">
        <v>59</v>
      </c>
    </row>
    <row r="94" spans="1:17" x14ac:dyDescent="0.25">
      <c r="A94">
        <v>10</v>
      </c>
      <c r="B94" t="s">
        <v>18</v>
      </c>
      <c r="C94" t="s">
        <v>18</v>
      </c>
      <c r="D94">
        <v>2025</v>
      </c>
      <c r="E94" s="1">
        <v>45889</v>
      </c>
      <c r="F94" s="5">
        <f t="shared" si="1"/>
        <v>232</v>
      </c>
      <c r="G94" s="2">
        <v>0.88541666666666663</v>
      </c>
      <c r="H94" s="1">
        <v>45890</v>
      </c>
      <c r="I94" s="2">
        <v>0.40625</v>
      </c>
      <c r="J94">
        <v>13</v>
      </c>
      <c r="K94" t="s">
        <v>10</v>
      </c>
      <c r="L94">
        <v>0</v>
      </c>
      <c r="M94">
        <v>1</v>
      </c>
      <c r="N94">
        <v>0</v>
      </c>
      <c r="O94">
        <v>0</v>
      </c>
      <c r="P94">
        <v>0</v>
      </c>
      <c r="Q94" s="10" t="s">
        <v>59</v>
      </c>
    </row>
    <row r="95" spans="1:17" x14ac:dyDescent="0.25">
      <c r="A95">
        <v>10</v>
      </c>
      <c r="B95" t="s">
        <v>18</v>
      </c>
      <c r="C95" t="s">
        <v>18</v>
      </c>
      <c r="D95">
        <v>2025</v>
      </c>
      <c r="E95" s="1">
        <v>45889</v>
      </c>
      <c r="F95" s="5">
        <f t="shared" si="1"/>
        <v>232</v>
      </c>
      <c r="G95" s="2">
        <v>0.88541666666666663</v>
      </c>
      <c r="H95" s="1">
        <v>45890</v>
      </c>
      <c r="I95" s="2">
        <v>0.40625</v>
      </c>
      <c r="J95">
        <v>19</v>
      </c>
      <c r="K95" t="s">
        <v>10</v>
      </c>
      <c r="L95">
        <v>0</v>
      </c>
      <c r="M95">
        <v>0</v>
      </c>
      <c r="N95">
        <v>0</v>
      </c>
      <c r="O95">
        <v>0</v>
      </c>
      <c r="P95">
        <v>0</v>
      </c>
      <c r="Q95" s="10" t="s">
        <v>59</v>
      </c>
    </row>
    <row r="96" spans="1:17" x14ac:dyDescent="0.25">
      <c r="A96">
        <v>1</v>
      </c>
      <c r="B96" t="s">
        <v>18</v>
      </c>
      <c r="C96" t="s">
        <v>18</v>
      </c>
      <c r="D96">
        <v>2020</v>
      </c>
      <c r="E96" s="1">
        <v>44047</v>
      </c>
      <c r="F96" s="5">
        <f t="shared" si="1"/>
        <v>217</v>
      </c>
      <c r="G96" s="2">
        <v>0.89027777777777783</v>
      </c>
      <c r="H96" s="1">
        <v>44048</v>
      </c>
      <c r="I96" s="2">
        <v>0.47916666666666669</v>
      </c>
      <c r="J96">
        <v>1</v>
      </c>
      <c r="K96" t="s">
        <v>9</v>
      </c>
      <c r="L96">
        <v>2</v>
      </c>
      <c r="M96">
        <v>10</v>
      </c>
      <c r="N96">
        <v>0</v>
      </c>
      <c r="O96">
        <v>0</v>
      </c>
      <c r="P96">
        <v>0</v>
      </c>
      <c r="Q96" s="10" t="s">
        <v>59</v>
      </c>
    </row>
    <row r="97" spans="1:18" x14ac:dyDescent="0.25">
      <c r="A97">
        <v>1</v>
      </c>
      <c r="B97" t="s">
        <v>18</v>
      </c>
      <c r="C97" t="s">
        <v>18</v>
      </c>
      <c r="D97">
        <v>2020</v>
      </c>
      <c r="E97" s="1">
        <v>44047</v>
      </c>
      <c r="F97" s="5">
        <f t="shared" si="1"/>
        <v>217</v>
      </c>
      <c r="G97" s="2">
        <v>0.89027777777777783</v>
      </c>
      <c r="H97" s="1">
        <v>44048</v>
      </c>
      <c r="I97" s="2">
        <v>0.47916666666666669</v>
      </c>
      <c r="J97">
        <v>10</v>
      </c>
      <c r="K97" t="s">
        <v>9</v>
      </c>
      <c r="L97">
        <v>0</v>
      </c>
      <c r="M97">
        <v>8</v>
      </c>
      <c r="N97">
        <v>0</v>
      </c>
      <c r="O97">
        <v>0</v>
      </c>
      <c r="P97">
        <v>0</v>
      </c>
      <c r="Q97" s="10" t="s">
        <v>59</v>
      </c>
    </row>
    <row r="98" spans="1:18" x14ac:dyDescent="0.25">
      <c r="A98">
        <v>1</v>
      </c>
      <c r="B98" t="s">
        <v>18</v>
      </c>
      <c r="C98" t="s">
        <v>18</v>
      </c>
      <c r="D98">
        <v>2020</v>
      </c>
      <c r="E98" s="1">
        <v>44047</v>
      </c>
      <c r="F98" s="5">
        <f t="shared" si="1"/>
        <v>217</v>
      </c>
      <c r="G98" s="2">
        <v>0.89027777777777783</v>
      </c>
      <c r="H98" s="1">
        <v>44048</v>
      </c>
      <c r="I98" s="2">
        <v>0.47916666666666669</v>
      </c>
      <c r="J98">
        <v>11</v>
      </c>
      <c r="K98" t="s">
        <v>9</v>
      </c>
      <c r="L98">
        <v>0</v>
      </c>
      <c r="M98">
        <v>0</v>
      </c>
      <c r="N98">
        <v>0</v>
      </c>
      <c r="O98">
        <v>0</v>
      </c>
      <c r="P98">
        <v>0</v>
      </c>
      <c r="Q98" s="10" t="s">
        <v>59</v>
      </c>
    </row>
    <row r="99" spans="1:18" x14ac:dyDescent="0.25">
      <c r="A99">
        <v>1</v>
      </c>
      <c r="B99" t="s">
        <v>18</v>
      </c>
      <c r="C99" t="s">
        <v>18</v>
      </c>
      <c r="D99">
        <v>2020</v>
      </c>
      <c r="E99" s="1">
        <v>44047</v>
      </c>
      <c r="F99" s="5">
        <f t="shared" si="1"/>
        <v>217</v>
      </c>
      <c r="G99" s="2">
        <v>0.89027777777777783</v>
      </c>
      <c r="H99" s="1">
        <v>44048</v>
      </c>
      <c r="I99" s="2">
        <v>0.47916666666666669</v>
      </c>
      <c r="J99">
        <v>12</v>
      </c>
      <c r="K99" t="s">
        <v>9</v>
      </c>
      <c r="L99">
        <v>1</v>
      </c>
      <c r="M99">
        <v>3</v>
      </c>
      <c r="N99">
        <v>0</v>
      </c>
      <c r="O99">
        <v>0</v>
      </c>
      <c r="P99">
        <v>0</v>
      </c>
      <c r="Q99" s="10" t="s">
        <v>59</v>
      </c>
    </row>
    <row r="100" spans="1:18" x14ac:dyDescent="0.25">
      <c r="A100">
        <v>1</v>
      </c>
      <c r="B100" t="s">
        <v>18</v>
      </c>
      <c r="C100" t="s">
        <v>18</v>
      </c>
      <c r="D100">
        <v>2020</v>
      </c>
      <c r="E100" s="1">
        <v>44047</v>
      </c>
      <c r="F100" s="5">
        <f t="shared" si="1"/>
        <v>217</v>
      </c>
      <c r="G100" s="2">
        <v>0.89027777777777783</v>
      </c>
      <c r="H100" s="1">
        <v>44048</v>
      </c>
      <c r="I100" s="2">
        <v>0.47916666666666669</v>
      </c>
      <c r="J100">
        <v>19</v>
      </c>
      <c r="K100" t="s">
        <v>9</v>
      </c>
      <c r="L100">
        <v>0</v>
      </c>
      <c r="M100">
        <v>1</v>
      </c>
      <c r="N100">
        <v>0</v>
      </c>
      <c r="O100">
        <v>0</v>
      </c>
      <c r="P100">
        <v>0</v>
      </c>
      <c r="Q100" s="10" t="s">
        <v>59</v>
      </c>
    </row>
    <row r="101" spans="1:18" x14ac:dyDescent="0.25">
      <c r="A101">
        <v>2</v>
      </c>
      <c r="B101" t="s">
        <v>18</v>
      </c>
      <c r="C101" t="s">
        <v>19</v>
      </c>
      <c r="D101">
        <v>2020</v>
      </c>
      <c r="E101" s="1">
        <v>44048</v>
      </c>
      <c r="F101" s="5">
        <f t="shared" si="1"/>
        <v>218</v>
      </c>
      <c r="G101" s="2">
        <v>0.82430555555555562</v>
      </c>
      <c r="H101" s="1">
        <v>44049</v>
      </c>
      <c r="I101" s="2">
        <v>0.49861111111111112</v>
      </c>
      <c r="J101">
        <v>17</v>
      </c>
      <c r="K101" t="s">
        <v>9</v>
      </c>
      <c r="L101">
        <v>0</v>
      </c>
      <c r="M101">
        <v>0</v>
      </c>
      <c r="N101">
        <v>0</v>
      </c>
      <c r="O101">
        <v>0</v>
      </c>
      <c r="P101">
        <v>0</v>
      </c>
      <c r="Q101" s="10" t="s">
        <v>59</v>
      </c>
    </row>
    <row r="102" spans="1:18" x14ac:dyDescent="0.25">
      <c r="A102">
        <v>2</v>
      </c>
      <c r="B102" t="s">
        <v>18</v>
      </c>
      <c r="C102" t="s">
        <v>19</v>
      </c>
      <c r="D102">
        <v>2020</v>
      </c>
      <c r="E102" s="1">
        <v>44048</v>
      </c>
      <c r="F102" s="5">
        <f t="shared" si="1"/>
        <v>218</v>
      </c>
      <c r="G102" s="2">
        <v>0.82430555555555562</v>
      </c>
      <c r="H102" s="1">
        <v>44049</v>
      </c>
      <c r="I102" s="2">
        <v>0.49861111111111112</v>
      </c>
      <c r="J102">
        <v>15</v>
      </c>
      <c r="K102" t="s">
        <v>9</v>
      </c>
      <c r="L102">
        <v>0</v>
      </c>
      <c r="M102">
        <v>0</v>
      </c>
      <c r="N102">
        <v>0</v>
      </c>
      <c r="O102">
        <v>0</v>
      </c>
      <c r="P102">
        <v>0</v>
      </c>
      <c r="Q102" s="10" t="s">
        <v>59</v>
      </c>
    </row>
    <row r="103" spans="1:18" x14ac:dyDescent="0.25">
      <c r="A103">
        <v>2</v>
      </c>
      <c r="B103" t="s">
        <v>18</v>
      </c>
      <c r="C103" t="s">
        <v>19</v>
      </c>
      <c r="D103">
        <v>2020</v>
      </c>
      <c r="E103" s="1">
        <v>44048</v>
      </c>
      <c r="F103" s="5">
        <f t="shared" si="1"/>
        <v>218</v>
      </c>
      <c r="G103" s="2">
        <v>0.82430555555555562</v>
      </c>
      <c r="H103" s="1">
        <v>44049</v>
      </c>
      <c r="I103" s="2">
        <v>0.49861111111111112</v>
      </c>
      <c r="J103">
        <v>7</v>
      </c>
      <c r="K103" t="s">
        <v>9</v>
      </c>
      <c r="L103">
        <v>0</v>
      </c>
      <c r="M103">
        <v>1</v>
      </c>
      <c r="N103">
        <v>0</v>
      </c>
      <c r="O103">
        <v>0</v>
      </c>
      <c r="P103">
        <v>0</v>
      </c>
      <c r="Q103" s="10" t="s">
        <v>59</v>
      </c>
    </row>
    <row r="104" spans="1:18" x14ac:dyDescent="0.25">
      <c r="A104">
        <v>2</v>
      </c>
      <c r="B104" t="s">
        <v>18</v>
      </c>
      <c r="C104" t="s">
        <v>19</v>
      </c>
      <c r="D104">
        <v>2020</v>
      </c>
      <c r="E104" s="1">
        <v>44048</v>
      </c>
      <c r="F104" s="5">
        <f t="shared" si="1"/>
        <v>218</v>
      </c>
      <c r="G104" s="2">
        <v>0.82430555555555562</v>
      </c>
      <c r="H104" s="1">
        <v>44049</v>
      </c>
      <c r="I104" s="2">
        <v>0.49861111111111112</v>
      </c>
      <c r="J104">
        <v>6</v>
      </c>
      <c r="K104" t="s">
        <v>9</v>
      </c>
      <c r="L104">
        <v>0</v>
      </c>
      <c r="M104">
        <v>0</v>
      </c>
      <c r="N104">
        <v>0</v>
      </c>
      <c r="O104">
        <v>0</v>
      </c>
      <c r="P104">
        <v>0</v>
      </c>
      <c r="Q104" s="10" t="s">
        <v>59</v>
      </c>
    </row>
    <row r="105" spans="1:18" x14ac:dyDescent="0.25">
      <c r="A105">
        <v>2</v>
      </c>
      <c r="B105" t="s">
        <v>18</v>
      </c>
      <c r="C105" t="s">
        <v>19</v>
      </c>
      <c r="D105">
        <v>2020</v>
      </c>
      <c r="E105" s="1">
        <v>44048</v>
      </c>
      <c r="F105" s="5">
        <f t="shared" si="1"/>
        <v>218</v>
      </c>
      <c r="G105" s="2">
        <v>0.82430555555555562</v>
      </c>
      <c r="H105" s="1">
        <v>44049</v>
      </c>
      <c r="I105" s="2">
        <v>0.49861111111111112</v>
      </c>
      <c r="J105">
        <v>1</v>
      </c>
      <c r="K105" t="s">
        <v>9</v>
      </c>
      <c r="L105">
        <v>1</v>
      </c>
      <c r="M105">
        <v>0</v>
      </c>
      <c r="N105">
        <v>0</v>
      </c>
      <c r="O105">
        <v>0</v>
      </c>
      <c r="P105">
        <v>0</v>
      </c>
      <c r="Q105" s="10" t="s">
        <v>59</v>
      </c>
    </row>
    <row r="106" spans="1:18" x14ac:dyDescent="0.25">
      <c r="A106">
        <v>3</v>
      </c>
      <c r="B106" t="s">
        <v>20</v>
      </c>
      <c r="C106" t="s">
        <v>18</v>
      </c>
      <c r="D106">
        <v>2020</v>
      </c>
      <c r="E106" s="1">
        <v>44049</v>
      </c>
      <c r="F106" s="5">
        <f t="shared" si="1"/>
        <v>219</v>
      </c>
      <c r="G106" s="2">
        <v>0.78611111111111109</v>
      </c>
      <c r="H106" s="1">
        <v>44050</v>
      </c>
      <c r="I106" s="2">
        <v>0.47569444444444442</v>
      </c>
      <c r="J106">
        <v>18</v>
      </c>
      <c r="K106" t="s">
        <v>9</v>
      </c>
      <c r="L106">
        <v>1</v>
      </c>
      <c r="M106">
        <v>1</v>
      </c>
      <c r="N106">
        <v>0</v>
      </c>
      <c r="O106">
        <v>0</v>
      </c>
      <c r="P106">
        <v>0</v>
      </c>
      <c r="Q106" s="10" t="s">
        <v>59</v>
      </c>
    </row>
    <row r="107" spans="1:18" x14ac:dyDescent="0.25">
      <c r="A107">
        <v>3</v>
      </c>
      <c r="B107" t="s">
        <v>20</v>
      </c>
      <c r="C107" t="s">
        <v>18</v>
      </c>
      <c r="D107">
        <v>2020</v>
      </c>
      <c r="E107" s="1">
        <v>44049</v>
      </c>
      <c r="F107" s="5">
        <f t="shared" si="1"/>
        <v>219</v>
      </c>
      <c r="G107" s="2">
        <v>0.78611111111111109</v>
      </c>
      <c r="H107" s="1">
        <v>44050</v>
      </c>
      <c r="I107" s="2">
        <v>0.47569444444444442</v>
      </c>
      <c r="J107">
        <v>14</v>
      </c>
      <c r="K107" t="s">
        <v>9</v>
      </c>
      <c r="L107">
        <v>0</v>
      </c>
      <c r="M107">
        <v>1</v>
      </c>
      <c r="N107">
        <v>0</v>
      </c>
      <c r="O107">
        <v>0</v>
      </c>
      <c r="P107">
        <v>0</v>
      </c>
      <c r="Q107" s="10" t="s">
        <v>59</v>
      </c>
    </row>
    <row r="108" spans="1:18" x14ac:dyDescent="0.25">
      <c r="A108">
        <v>3</v>
      </c>
      <c r="B108" t="s">
        <v>20</v>
      </c>
      <c r="C108" t="s">
        <v>18</v>
      </c>
      <c r="D108">
        <v>2020</v>
      </c>
      <c r="E108" s="1">
        <v>44049</v>
      </c>
      <c r="F108" s="5">
        <f t="shared" si="1"/>
        <v>219</v>
      </c>
      <c r="G108" s="2">
        <v>0.78611111111111109</v>
      </c>
      <c r="H108" s="1">
        <v>44050</v>
      </c>
      <c r="I108" s="2">
        <v>0.47569444444444442</v>
      </c>
      <c r="J108">
        <v>5</v>
      </c>
      <c r="K108" t="s">
        <v>9</v>
      </c>
      <c r="L108">
        <v>1</v>
      </c>
      <c r="M108">
        <v>1</v>
      </c>
      <c r="N108">
        <v>0</v>
      </c>
      <c r="O108">
        <v>0</v>
      </c>
      <c r="P108">
        <v>0</v>
      </c>
      <c r="Q108" s="10" t="s">
        <v>59</v>
      </c>
    </row>
    <row r="109" spans="1:18" x14ac:dyDescent="0.25">
      <c r="A109">
        <v>3</v>
      </c>
      <c r="B109" t="s">
        <v>20</v>
      </c>
      <c r="C109" t="s">
        <v>18</v>
      </c>
      <c r="D109">
        <v>2020</v>
      </c>
      <c r="E109" s="1">
        <v>44049</v>
      </c>
      <c r="F109" s="5">
        <f t="shared" si="1"/>
        <v>219</v>
      </c>
      <c r="G109" s="2">
        <v>0.78611111111111109</v>
      </c>
      <c r="H109" s="1">
        <v>44050</v>
      </c>
      <c r="I109" s="2">
        <v>0.47569444444444442</v>
      </c>
      <c r="J109">
        <v>4</v>
      </c>
      <c r="K109" t="s">
        <v>9</v>
      </c>
      <c r="L109">
        <v>4</v>
      </c>
      <c r="M109">
        <v>0</v>
      </c>
      <c r="N109">
        <v>0</v>
      </c>
      <c r="O109">
        <v>0</v>
      </c>
      <c r="P109">
        <v>0</v>
      </c>
      <c r="Q109" s="10" t="s">
        <v>59</v>
      </c>
      <c r="R109" t="s">
        <v>21</v>
      </c>
    </row>
    <row r="110" spans="1:18" x14ac:dyDescent="0.25">
      <c r="A110">
        <v>3</v>
      </c>
      <c r="B110" t="s">
        <v>20</v>
      </c>
      <c r="C110" t="s">
        <v>18</v>
      </c>
      <c r="D110">
        <v>2020</v>
      </c>
      <c r="E110" s="1">
        <v>44049</v>
      </c>
      <c r="F110" s="5">
        <f t="shared" si="1"/>
        <v>219</v>
      </c>
      <c r="G110" s="2">
        <v>0.78611111111111109</v>
      </c>
      <c r="H110" s="1">
        <v>44050</v>
      </c>
      <c r="I110" s="2">
        <v>0.47569444444444442</v>
      </c>
      <c r="J110">
        <v>3</v>
      </c>
      <c r="K110" t="s">
        <v>9</v>
      </c>
      <c r="L110">
        <v>3</v>
      </c>
      <c r="M110">
        <v>2</v>
      </c>
      <c r="N110">
        <v>0</v>
      </c>
      <c r="O110">
        <v>0</v>
      </c>
      <c r="P110">
        <v>0</v>
      </c>
      <c r="Q110" s="10" t="s">
        <v>59</v>
      </c>
    </row>
    <row r="111" spans="1:18" x14ac:dyDescent="0.25">
      <c r="A111">
        <v>4</v>
      </c>
      <c r="B111" t="s">
        <v>18</v>
      </c>
      <c r="C111" t="s">
        <v>18</v>
      </c>
      <c r="D111">
        <v>2020</v>
      </c>
      <c r="E111" s="1">
        <v>44050</v>
      </c>
      <c r="F111" s="5">
        <f t="shared" si="1"/>
        <v>220</v>
      </c>
      <c r="G111" s="2">
        <v>0.80486111111111114</v>
      </c>
      <c r="H111" s="1">
        <v>44051</v>
      </c>
      <c r="I111" s="2">
        <v>0.46319444444444446</v>
      </c>
      <c r="J111">
        <v>19</v>
      </c>
      <c r="K111" t="s">
        <v>9</v>
      </c>
      <c r="L111">
        <v>2</v>
      </c>
      <c r="M111">
        <v>0</v>
      </c>
      <c r="N111">
        <v>0</v>
      </c>
      <c r="O111">
        <v>0</v>
      </c>
      <c r="P111">
        <v>0</v>
      </c>
      <c r="Q111" s="10" t="s">
        <v>59</v>
      </c>
    </row>
    <row r="112" spans="1:18" x14ac:dyDescent="0.25">
      <c r="A112">
        <v>4</v>
      </c>
      <c r="B112" t="s">
        <v>18</v>
      </c>
      <c r="C112" t="s">
        <v>18</v>
      </c>
      <c r="D112">
        <v>2020</v>
      </c>
      <c r="E112" s="1">
        <v>44050</v>
      </c>
      <c r="F112" s="5">
        <f t="shared" si="1"/>
        <v>220</v>
      </c>
      <c r="G112" s="2">
        <v>0.80486111111111114</v>
      </c>
      <c r="H112" s="1">
        <v>44051</v>
      </c>
      <c r="I112" s="2">
        <v>0.46319444444444446</v>
      </c>
      <c r="J112">
        <v>17</v>
      </c>
      <c r="K112" t="s">
        <v>9</v>
      </c>
      <c r="L112">
        <v>3</v>
      </c>
      <c r="M112">
        <v>1</v>
      </c>
      <c r="N112">
        <v>0</v>
      </c>
      <c r="O112">
        <v>0</v>
      </c>
      <c r="P112">
        <v>0</v>
      </c>
      <c r="Q112" s="10" t="s">
        <v>59</v>
      </c>
    </row>
    <row r="113" spans="1:18" x14ac:dyDescent="0.25">
      <c r="A113">
        <v>4</v>
      </c>
      <c r="B113" t="s">
        <v>18</v>
      </c>
      <c r="C113" t="s">
        <v>18</v>
      </c>
      <c r="D113">
        <v>2020</v>
      </c>
      <c r="E113" s="1">
        <v>44050</v>
      </c>
      <c r="F113" s="5">
        <f t="shared" si="1"/>
        <v>220</v>
      </c>
      <c r="G113" s="2">
        <v>0.80486111111111114</v>
      </c>
      <c r="H113" s="1">
        <v>44051</v>
      </c>
      <c r="I113" s="2">
        <v>0.46319444444444446</v>
      </c>
      <c r="J113">
        <v>15</v>
      </c>
      <c r="K113" t="s">
        <v>9</v>
      </c>
      <c r="L113">
        <v>1</v>
      </c>
      <c r="M113">
        <v>0</v>
      </c>
      <c r="N113">
        <v>0</v>
      </c>
      <c r="O113">
        <v>0</v>
      </c>
      <c r="P113">
        <v>0</v>
      </c>
      <c r="Q113" s="10" t="s">
        <v>59</v>
      </c>
    </row>
    <row r="114" spans="1:18" x14ac:dyDescent="0.25">
      <c r="A114">
        <v>4</v>
      </c>
      <c r="B114" t="s">
        <v>18</v>
      </c>
      <c r="C114" t="s">
        <v>18</v>
      </c>
      <c r="D114">
        <v>2020</v>
      </c>
      <c r="E114" s="1">
        <v>44050</v>
      </c>
      <c r="F114" s="5">
        <f t="shared" si="1"/>
        <v>220</v>
      </c>
      <c r="G114" s="2">
        <v>0.80486111111111114</v>
      </c>
      <c r="H114" s="1">
        <v>44051</v>
      </c>
      <c r="I114" s="2">
        <v>0.46319444444444446</v>
      </c>
      <c r="J114">
        <v>13</v>
      </c>
      <c r="K114" t="s">
        <v>9</v>
      </c>
      <c r="L114">
        <v>1</v>
      </c>
      <c r="M114">
        <v>5</v>
      </c>
      <c r="N114">
        <v>0</v>
      </c>
      <c r="O114">
        <v>0</v>
      </c>
      <c r="P114">
        <v>0</v>
      </c>
      <c r="Q114" s="10" t="s">
        <v>59</v>
      </c>
    </row>
    <row r="115" spans="1:18" x14ac:dyDescent="0.25">
      <c r="A115">
        <v>4</v>
      </c>
      <c r="B115" t="s">
        <v>18</v>
      </c>
      <c r="C115" t="s">
        <v>18</v>
      </c>
      <c r="D115">
        <v>2020</v>
      </c>
      <c r="E115" s="1">
        <v>44050</v>
      </c>
      <c r="F115" s="5">
        <f t="shared" si="1"/>
        <v>220</v>
      </c>
      <c r="G115" s="2">
        <v>0.80486111111111114</v>
      </c>
      <c r="H115" s="1">
        <v>44051</v>
      </c>
      <c r="I115" s="2">
        <v>0.46319444444444446</v>
      </c>
      <c r="J115">
        <v>8</v>
      </c>
      <c r="K115" t="s">
        <v>9</v>
      </c>
      <c r="L115">
        <v>3</v>
      </c>
      <c r="M115">
        <v>2</v>
      </c>
      <c r="N115">
        <v>0</v>
      </c>
      <c r="O115">
        <v>0</v>
      </c>
      <c r="P115">
        <v>0</v>
      </c>
      <c r="Q115" s="10" t="s">
        <v>59</v>
      </c>
    </row>
    <row r="116" spans="1:18" x14ac:dyDescent="0.25">
      <c r="A116">
        <v>5</v>
      </c>
      <c r="B116" t="s">
        <v>22</v>
      </c>
      <c r="C116" t="s">
        <v>23</v>
      </c>
      <c r="D116">
        <v>2020</v>
      </c>
      <c r="E116" s="1">
        <v>44051</v>
      </c>
      <c r="F116" s="5">
        <f t="shared" si="1"/>
        <v>221</v>
      </c>
      <c r="G116" s="2">
        <v>0.8208333333333333</v>
      </c>
      <c r="H116" s="1">
        <v>44052</v>
      </c>
      <c r="I116" s="2">
        <v>0.45833333333333331</v>
      </c>
      <c r="J116">
        <v>18</v>
      </c>
      <c r="K116" t="s">
        <v>9</v>
      </c>
      <c r="L116">
        <v>5</v>
      </c>
      <c r="M116">
        <v>0</v>
      </c>
      <c r="N116">
        <v>0</v>
      </c>
      <c r="O116">
        <v>0</v>
      </c>
      <c r="P116">
        <v>0</v>
      </c>
      <c r="Q116" s="10" t="s">
        <v>59</v>
      </c>
    </row>
    <row r="117" spans="1:18" x14ac:dyDescent="0.25">
      <c r="A117">
        <v>5</v>
      </c>
      <c r="B117" t="s">
        <v>22</v>
      </c>
      <c r="C117" t="s">
        <v>23</v>
      </c>
      <c r="D117">
        <v>2020</v>
      </c>
      <c r="E117" s="1">
        <v>44051</v>
      </c>
      <c r="F117" s="5">
        <f t="shared" si="1"/>
        <v>221</v>
      </c>
      <c r="G117" s="2">
        <v>0.8208333333333333</v>
      </c>
      <c r="H117" s="1">
        <v>44052</v>
      </c>
      <c r="I117" s="2">
        <v>0.45833333333333331</v>
      </c>
      <c r="J117">
        <v>17</v>
      </c>
      <c r="K117" t="s">
        <v>9</v>
      </c>
      <c r="L117">
        <v>1</v>
      </c>
      <c r="M117">
        <v>22</v>
      </c>
      <c r="N117">
        <v>0</v>
      </c>
      <c r="O117">
        <v>0</v>
      </c>
      <c r="P117">
        <v>0</v>
      </c>
      <c r="Q117" s="10" t="s">
        <v>59</v>
      </c>
    </row>
    <row r="118" spans="1:18" x14ac:dyDescent="0.25">
      <c r="A118">
        <v>5</v>
      </c>
      <c r="B118" t="s">
        <v>22</v>
      </c>
      <c r="C118" t="s">
        <v>23</v>
      </c>
      <c r="D118">
        <v>2020</v>
      </c>
      <c r="E118" s="1">
        <v>44051</v>
      </c>
      <c r="F118" s="5">
        <f t="shared" si="1"/>
        <v>221</v>
      </c>
      <c r="G118" s="2">
        <v>0.8208333333333333</v>
      </c>
      <c r="H118" s="1">
        <v>44052</v>
      </c>
      <c r="I118" s="2">
        <v>0.45833333333333331</v>
      </c>
      <c r="J118">
        <v>14</v>
      </c>
      <c r="K118" t="s">
        <v>9</v>
      </c>
      <c r="L118">
        <v>4</v>
      </c>
      <c r="M118">
        <v>0</v>
      </c>
      <c r="N118">
        <v>0</v>
      </c>
      <c r="O118">
        <v>0</v>
      </c>
      <c r="P118">
        <v>0</v>
      </c>
      <c r="Q118" s="10" t="s">
        <v>59</v>
      </c>
    </row>
    <row r="119" spans="1:18" x14ac:dyDescent="0.25">
      <c r="A119">
        <v>5</v>
      </c>
      <c r="B119" t="s">
        <v>22</v>
      </c>
      <c r="C119" t="s">
        <v>23</v>
      </c>
      <c r="D119">
        <v>2020</v>
      </c>
      <c r="E119" s="1">
        <v>44051</v>
      </c>
      <c r="F119" s="5">
        <f t="shared" si="1"/>
        <v>221</v>
      </c>
      <c r="G119" s="2">
        <v>0.8208333333333333</v>
      </c>
      <c r="H119" s="1">
        <v>44052</v>
      </c>
      <c r="I119" s="2">
        <v>0.45833333333333331</v>
      </c>
      <c r="J119">
        <v>6</v>
      </c>
      <c r="K119" t="s">
        <v>9</v>
      </c>
      <c r="L119">
        <v>0</v>
      </c>
      <c r="M119">
        <v>1</v>
      </c>
      <c r="N119">
        <v>0</v>
      </c>
      <c r="O119">
        <v>0</v>
      </c>
      <c r="P119">
        <v>0</v>
      </c>
      <c r="Q119" s="10" t="s">
        <v>59</v>
      </c>
    </row>
    <row r="120" spans="1:18" x14ac:dyDescent="0.25">
      <c r="A120">
        <v>5</v>
      </c>
      <c r="B120" t="s">
        <v>22</v>
      </c>
      <c r="C120" t="s">
        <v>23</v>
      </c>
      <c r="D120">
        <v>2020</v>
      </c>
      <c r="E120" s="1">
        <v>44051</v>
      </c>
      <c r="F120" s="5">
        <f t="shared" si="1"/>
        <v>221</v>
      </c>
      <c r="G120" s="2">
        <v>0.8208333333333333</v>
      </c>
      <c r="H120" s="1">
        <v>44052</v>
      </c>
      <c r="I120" s="2">
        <v>0.45833333333333331</v>
      </c>
      <c r="J120">
        <v>1</v>
      </c>
      <c r="K120" t="s">
        <v>9</v>
      </c>
      <c r="L120">
        <v>1</v>
      </c>
      <c r="M120">
        <v>0</v>
      </c>
      <c r="N120">
        <v>0</v>
      </c>
      <c r="O120">
        <v>0</v>
      </c>
      <c r="P120">
        <v>0</v>
      </c>
      <c r="Q120" s="10" t="s">
        <v>59</v>
      </c>
      <c r="R120" t="s">
        <v>26</v>
      </c>
    </row>
    <row r="121" spans="1:18" x14ac:dyDescent="0.25">
      <c r="A121">
        <v>6</v>
      </c>
      <c r="B121" t="s">
        <v>28</v>
      </c>
      <c r="C121" t="s">
        <v>18</v>
      </c>
      <c r="D121">
        <v>2020</v>
      </c>
      <c r="E121" s="1">
        <v>44054</v>
      </c>
      <c r="F121" s="5">
        <f t="shared" si="1"/>
        <v>224</v>
      </c>
      <c r="G121" s="2">
        <v>0.88541666666666663</v>
      </c>
      <c r="H121" s="1">
        <v>44055</v>
      </c>
      <c r="I121" s="2">
        <v>0.4375</v>
      </c>
      <c r="J121">
        <v>20</v>
      </c>
      <c r="K121" t="s">
        <v>9</v>
      </c>
      <c r="L121">
        <v>1</v>
      </c>
      <c r="M121">
        <v>0</v>
      </c>
      <c r="N121">
        <v>0</v>
      </c>
      <c r="O121">
        <v>0</v>
      </c>
      <c r="P121">
        <v>0</v>
      </c>
      <c r="Q121" s="10" t="s">
        <v>59</v>
      </c>
    </row>
    <row r="122" spans="1:18" x14ac:dyDescent="0.25">
      <c r="A122">
        <v>6</v>
      </c>
      <c r="B122" t="s">
        <v>28</v>
      </c>
      <c r="C122" t="s">
        <v>18</v>
      </c>
      <c r="D122">
        <v>2020</v>
      </c>
      <c r="E122" s="1">
        <v>44054</v>
      </c>
      <c r="F122" s="5">
        <f t="shared" si="1"/>
        <v>224</v>
      </c>
      <c r="G122" s="2">
        <v>0.88541666666666663</v>
      </c>
      <c r="H122" s="1">
        <v>44055</v>
      </c>
      <c r="I122" s="2">
        <v>0.4375</v>
      </c>
      <c r="J122">
        <v>17</v>
      </c>
      <c r="K122" t="s">
        <v>9</v>
      </c>
      <c r="L122">
        <v>3</v>
      </c>
      <c r="M122">
        <v>4</v>
      </c>
      <c r="N122">
        <v>0</v>
      </c>
      <c r="O122">
        <v>0</v>
      </c>
      <c r="P122">
        <v>0</v>
      </c>
      <c r="Q122" s="10" t="s">
        <v>59</v>
      </c>
    </row>
    <row r="123" spans="1:18" x14ac:dyDescent="0.25">
      <c r="A123">
        <v>6</v>
      </c>
      <c r="B123" t="s">
        <v>28</v>
      </c>
      <c r="C123" t="s">
        <v>18</v>
      </c>
      <c r="D123">
        <v>2020</v>
      </c>
      <c r="E123" s="1">
        <v>44054</v>
      </c>
      <c r="F123" s="5">
        <f t="shared" si="1"/>
        <v>224</v>
      </c>
      <c r="G123" s="2">
        <v>0.88541666666666663</v>
      </c>
      <c r="H123" s="1">
        <v>44055</v>
      </c>
      <c r="I123" s="2">
        <v>0.4375</v>
      </c>
      <c r="J123">
        <v>16</v>
      </c>
      <c r="K123" t="s">
        <v>9</v>
      </c>
      <c r="L123">
        <v>1</v>
      </c>
      <c r="M123">
        <v>0</v>
      </c>
      <c r="N123">
        <v>0</v>
      </c>
      <c r="O123">
        <v>0</v>
      </c>
      <c r="P123">
        <v>0</v>
      </c>
      <c r="Q123" s="10" t="s">
        <v>59</v>
      </c>
      <c r="R123" t="s">
        <v>29</v>
      </c>
    </row>
    <row r="124" spans="1:18" x14ac:dyDescent="0.25">
      <c r="A124">
        <v>6</v>
      </c>
      <c r="B124" t="s">
        <v>28</v>
      </c>
      <c r="C124" t="s">
        <v>18</v>
      </c>
      <c r="D124">
        <v>2020</v>
      </c>
      <c r="E124" s="1">
        <v>44054</v>
      </c>
      <c r="F124" s="5">
        <f t="shared" si="1"/>
        <v>224</v>
      </c>
      <c r="G124" s="2">
        <v>0.88541666666666663</v>
      </c>
      <c r="H124" s="1">
        <v>44055</v>
      </c>
      <c r="I124" s="2">
        <v>0.4375</v>
      </c>
      <c r="J124">
        <v>13</v>
      </c>
      <c r="K124" t="s">
        <v>9</v>
      </c>
      <c r="L124">
        <v>0</v>
      </c>
      <c r="M124">
        <v>1</v>
      </c>
      <c r="N124">
        <v>0</v>
      </c>
      <c r="O124">
        <v>0</v>
      </c>
      <c r="P124">
        <v>0</v>
      </c>
      <c r="Q124" s="10" t="s">
        <v>59</v>
      </c>
    </row>
    <row r="125" spans="1:18" x14ac:dyDescent="0.25">
      <c r="A125">
        <v>6</v>
      </c>
      <c r="B125" t="s">
        <v>28</v>
      </c>
      <c r="C125" t="s">
        <v>18</v>
      </c>
      <c r="D125">
        <v>2020</v>
      </c>
      <c r="E125" s="1">
        <v>44054</v>
      </c>
      <c r="F125" s="5">
        <f t="shared" si="1"/>
        <v>224</v>
      </c>
      <c r="G125" s="2">
        <v>0.88541666666666663</v>
      </c>
      <c r="H125" s="1">
        <v>44055</v>
      </c>
      <c r="I125" s="2">
        <v>0.4375</v>
      </c>
      <c r="J125">
        <v>8</v>
      </c>
      <c r="K125" t="s">
        <v>9</v>
      </c>
      <c r="L125">
        <v>5</v>
      </c>
      <c r="M125">
        <v>10</v>
      </c>
      <c r="N125">
        <v>1</v>
      </c>
      <c r="O125">
        <v>0</v>
      </c>
      <c r="P125">
        <v>0</v>
      </c>
      <c r="Q125" s="10" t="s">
        <v>59</v>
      </c>
    </row>
    <row r="126" spans="1:18" x14ac:dyDescent="0.25">
      <c r="A126">
        <v>7</v>
      </c>
      <c r="B126" t="s">
        <v>36</v>
      </c>
      <c r="C126" t="s">
        <v>18</v>
      </c>
      <c r="D126">
        <v>2025</v>
      </c>
      <c r="E126" s="1">
        <v>45885</v>
      </c>
      <c r="F126" s="5">
        <f t="shared" si="1"/>
        <v>228</v>
      </c>
      <c r="G126" s="2">
        <v>0.82430555555555551</v>
      </c>
      <c r="H126" s="1">
        <v>45886</v>
      </c>
      <c r="I126" s="2">
        <v>0.41666666666666669</v>
      </c>
      <c r="J126">
        <v>2</v>
      </c>
      <c r="K126" t="s">
        <v>9</v>
      </c>
      <c r="L126">
        <v>1</v>
      </c>
      <c r="M126">
        <v>3</v>
      </c>
      <c r="N126">
        <v>0</v>
      </c>
      <c r="O126">
        <v>0</v>
      </c>
      <c r="P126">
        <v>0</v>
      </c>
      <c r="Q126" s="10" t="s">
        <v>59</v>
      </c>
    </row>
    <row r="127" spans="1:18" x14ac:dyDescent="0.25">
      <c r="A127">
        <v>7</v>
      </c>
      <c r="B127" t="s">
        <v>36</v>
      </c>
      <c r="C127" t="s">
        <v>18</v>
      </c>
      <c r="D127">
        <v>2025</v>
      </c>
      <c r="E127" s="1">
        <v>45885</v>
      </c>
      <c r="F127" s="5">
        <f t="shared" si="1"/>
        <v>228</v>
      </c>
      <c r="G127" s="2">
        <v>0.82430555555555551</v>
      </c>
      <c r="H127" s="1">
        <v>45886</v>
      </c>
      <c r="I127" s="2">
        <v>0.41666666666666669</v>
      </c>
      <c r="J127">
        <v>8</v>
      </c>
      <c r="K127" t="s">
        <v>9</v>
      </c>
      <c r="L127">
        <v>0</v>
      </c>
      <c r="M127">
        <v>0</v>
      </c>
      <c r="N127">
        <v>0</v>
      </c>
      <c r="O127">
        <v>0</v>
      </c>
      <c r="P127">
        <v>0</v>
      </c>
      <c r="Q127" s="10" t="s">
        <v>59</v>
      </c>
    </row>
    <row r="128" spans="1:18" x14ac:dyDescent="0.25">
      <c r="A128">
        <v>7</v>
      </c>
      <c r="B128" t="s">
        <v>36</v>
      </c>
      <c r="C128" t="s">
        <v>18</v>
      </c>
      <c r="D128">
        <v>2025</v>
      </c>
      <c r="E128" s="1">
        <v>45885</v>
      </c>
      <c r="F128" s="5">
        <f t="shared" si="1"/>
        <v>228</v>
      </c>
      <c r="G128" s="2">
        <v>0.82430555555555551</v>
      </c>
      <c r="H128" s="1">
        <v>45886</v>
      </c>
      <c r="I128" s="2">
        <v>0.41666666666666669</v>
      </c>
      <c r="J128">
        <v>12</v>
      </c>
      <c r="K128" t="s">
        <v>9</v>
      </c>
      <c r="L128">
        <v>0</v>
      </c>
      <c r="M128">
        <v>0</v>
      </c>
      <c r="N128">
        <v>0</v>
      </c>
      <c r="O128">
        <v>0</v>
      </c>
      <c r="P128">
        <v>0</v>
      </c>
      <c r="Q128" s="10" t="s">
        <v>59</v>
      </c>
    </row>
    <row r="129" spans="1:18" x14ac:dyDescent="0.25">
      <c r="A129">
        <v>7</v>
      </c>
      <c r="B129" t="s">
        <v>36</v>
      </c>
      <c r="C129" t="s">
        <v>18</v>
      </c>
      <c r="D129">
        <v>2025</v>
      </c>
      <c r="E129" s="1">
        <v>45885</v>
      </c>
      <c r="F129" s="5">
        <f t="shared" si="1"/>
        <v>228</v>
      </c>
      <c r="G129" s="2">
        <v>0.82430555555555551</v>
      </c>
      <c r="H129" s="1">
        <v>45886</v>
      </c>
      <c r="I129" s="2">
        <v>0.41666666666666669</v>
      </c>
      <c r="J129">
        <v>14</v>
      </c>
      <c r="K129" t="s">
        <v>9</v>
      </c>
      <c r="L129">
        <v>0</v>
      </c>
      <c r="M129">
        <v>0</v>
      </c>
      <c r="N129">
        <v>0</v>
      </c>
      <c r="O129">
        <v>0</v>
      </c>
      <c r="P129">
        <v>0</v>
      </c>
      <c r="Q129" s="10" t="s">
        <v>59</v>
      </c>
    </row>
    <row r="130" spans="1:18" x14ac:dyDescent="0.25">
      <c r="A130">
        <v>7</v>
      </c>
      <c r="B130" t="s">
        <v>36</v>
      </c>
      <c r="C130" t="s">
        <v>18</v>
      </c>
      <c r="D130">
        <v>2025</v>
      </c>
      <c r="E130" s="1">
        <v>45885</v>
      </c>
      <c r="F130" s="5">
        <f t="shared" ref="F130:F193" si="2">E130-DATE(YEAR(E130),1,0)</f>
        <v>228</v>
      </c>
      <c r="G130" s="2">
        <v>0.82430555555555551</v>
      </c>
      <c r="H130" s="1">
        <v>45886</v>
      </c>
      <c r="I130" s="2">
        <v>0.41666666666666669</v>
      </c>
      <c r="J130">
        <v>20</v>
      </c>
      <c r="K130" t="s">
        <v>9</v>
      </c>
      <c r="L130">
        <v>0</v>
      </c>
      <c r="M130">
        <v>0</v>
      </c>
      <c r="N130">
        <v>0</v>
      </c>
      <c r="O130">
        <v>0</v>
      </c>
      <c r="P130">
        <v>0</v>
      </c>
      <c r="Q130" s="10" t="s">
        <v>59</v>
      </c>
      <c r="R130" t="s">
        <v>42</v>
      </c>
    </row>
    <row r="131" spans="1:18" x14ac:dyDescent="0.25">
      <c r="A131">
        <v>8</v>
      </c>
      <c r="B131" t="s">
        <v>18</v>
      </c>
      <c r="C131" t="s">
        <v>18</v>
      </c>
      <c r="D131">
        <v>2025</v>
      </c>
      <c r="E131" s="1">
        <v>45887</v>
      </c>
      <c r="F131" s="5">
        <f t="shared" si="2"/>
        <v>230</v>
      </c>
      <c r="G131" s="2">
        <v>0.85416666666666663</v>
      </c>
      <c r="H131" s="1">
        <v>45888</v>
      </c>
      <c r="I131" s="2">
        <v>0.40625</v>
      </c>
      <c r="J131">
        <v>1</v>
      </c>
      <c r="K131" t="s">
        <v>9</v>
      </c>
      <c r="L131">
        <v>0</v>
      </c>
      <c r="M131">
        <v>0</v>
      </c>
      <c r="N131">
        <v>0</v>
      </c>
      <c r="O131">
        <v>0</v>
      </c>
      <c r="P131">
        <v>0</v>
      </c>
      <c r="Q131" s="10" t="s">
        <v>59</v>
      </c>
    </row>
    <row r="132" spans="1:18" x14ac:dyDescent="0.25">
      <c r="A132">
        <v>8</v>
      </c>
      <c r="B132" t="s">
        <v>18</v>
      </c>
      <c r="C132" t="s">
        <v>18</v>
      </c>
      <c r="D132">
        <v>2025</v>
      </c>
      <c r="E132" s="1">
        <v>45887</v>
      </c>
      <c r="F132" s="5">
        <f t="shared" si="2"/>
        <v>230</v>
      </c>
      <c r="G132" s="2">
        <v>0.85416666666666663</v>
      </c>
      <c r="H132" s="1">
        <v>45888</v>
      </c>
      <c r="I132" s="2">
        <v>0.40625</v>
      </c>
      <c r="J132">
        <v>7</v>
      </c>
      <c r="K132" t="s">
        <v>9</v>
      </c>
      <c r="L132">
        <v>0</v>
      </c>
      <c r="M132">
        <v>0</v>
      </c>
      <c r="N132">
        <v>0</v>
      </c>
      <c r="O132">
        <v>0</v>
      </c>
      <c r="P132">
        <v>0</v>
      </c>
      <c r="Q132" s="10" t="s">
        <v>59</v>
      </c>
    </row>
    <row r="133" spans="1:18" x14ac:dyDescent="0.25">
      <c r="A133">
        <v>8</v>
      </c>
      <c r="B133" t="s">
        <v>18</v>
      </c>
      <c r="C133" t="s">
        <v>18</v>
      </c>
      <c r="D133">
        <v>2025</v>
      </c>
      <c r="E133" s="1">
        <v>45887</v>
      </c>
      <c r="F133" s="5">
        <f t="shared" si="2"/>
        <v>230</v>
      </c>
      <c r="G133" s="2">
        <v>0.85416666666666663</v>
      </c>
      <c r="H133" s="1">
        <v>45888</v>
      </c>
      <c r="I133" s="2">
        <v>0.40625</v>
      </c>
      <c r="J133">
        <v>13</v>
      </c>
      <c r="K133" t="s">
        <v>9</v>
      </c>
      <c r="L133">
        <v>0</v>
      </c>
      <c r="M133">
        <v>9</v>
      </c>
      <c r="N133">
        <v>0</v>
      </c>
      <c r="O133">
        <v>0</v>
      </c>
      <c r="P133">
        <v>0</v>
      </c>
      <c r="Q133" s="10" t="s">
        <v>59</v>
      </c>
    </row>
    <row r="134" spans="1:18" x14ac:dyDescent="0.25">
      <c r="A134">
        <v>8</v>
      </c>
      <c r="B134" t="s">
        <v>18</v>
      </c>
      <c r="C134" t="s">
        <v>18</v>
      </c>
      <c r="D134">
        <v>2025</v>
      </c>
      <c r="E134" s="1">
        <v>45887</v>
      </c>
      <c r="F134" s="5">
        <f t="shared" si="2"/>
        <v>230</v>
      </c>
      <c r="G134" s="2">
        <v>0.85416666666666663</v>
      </c>
      <c r="H134" s="1">
        <v>45888</v>
      </c>
      <c r="I134" s="2">
        <v>0.40625</v>
      </c>
      <c r="J134">
        <v>16</v>
      </c>
      <c r="K134" t="s">
        <v>9</v>
      </c>
      <c r="L134">
        <v>0</v>
      </c>
      <c r="M134">
        <v>0</v>
      </c>
      <c r="N134">
        <v>0</v>
      </c>
      <c r="O134">
        <v>0</v>
      </c>
      <c r="P134">
        <v>0</v>
      </c>
      <c r="Q134" s="10" t="s">
        <v>59</v>
      </c>
    </row>
    <row r="135" spans="1:18" x14ac:dyDescent="0.25">
      <c r="A135">
        <v>9</v>
      </c>
      <c r="B135" t="s">
        <v>18</v>
      </c>
      <c r="C135" t="s">
        <v>18</v>
      </c>
      <c r="D135">
        <v>2025</v>
      </c>
      <c r="E135" s="1">
        <v>45888</v>
      </c>
      <c r="F135" s="5">
        <f t="shared" si="2"/>
        <v>231</v>
      </c>
      <c r="G135" s="2">
        <v>0.82291666666666663</v>
      </c>
      <c r="H135" s="1">
        <v>45889</v>
      </c>
      <c r="I135" s="2">
        <v>0.41666666666666669</v>
      </c>
      <c r="J135">
        <v>7</v>
      </c>
      <c r="K135" t="s">
        <v>9</v>
      </c>
      <c r="L135">
        <v>1</v>
      </c>
      <c r="M135">
        <v>1</v>
      </c>
      <c r="N135">
        <v>0</v>
      </c>
      <c r="O135">
        <v>0</v>
      </c>
      <c r="P135">
        <v>0</v>
      </c>
      <c r="Q135" s="10" t="s">
        <v>59</v>
      </c>
    </row>
    <row r="136" spans="1:18" x14ac:dyDescent="0.25">
      <c r="A136">
        <v>9</v>
      </c>
      <c r="B136" t="s">
        <v>18</v>
      </c>
      <c r="C136" t="s">
        <v>18</v>
      </c>
      <c r="D136">
        <v>2025</v>
      </c>
      <c r="E136" s="1">
        <v>45888</v>
      </c>
      <c r="F136" s="5">
        <f t="shared" si="2"/>
        <v>231</v>
      </c>
      <c r="G136" s="2">
        <v>0.82291666666666663</v>
      </c>
      <c r="H136" s="1">
        <v>45889</v>
      </c>
      <c r="I136" s="2">
        <v>0.41666666666666669</v>
      </c>
      <c r="J136">
        <v>9</v>
      </c>
      <c r="K136" t="s">
        <v>9</v>
      </c>
      <c r="L136">
        <v>0</v>
      </c>
      <c r="M136">
        <v>0</v>
      </c>
      <c r="N136">
        <v>0</v>
      </c>
      <c r="O136">
        <v>0</v>
      </c>
      <c r="P136">
        <v>0</v>
      </c>
      <c r="Q136" s="10" t="s">
        <v>59</v>
      </c>
    </row>
    <row r="137" spans="1:18" x14ac:dyDescent="0.25">
      <c r="A137">
        <v>9</v>
      </c>
      <c r="B137" t="s">
        <v>18</v>
      </c>
      <c r="C137" t="s">
        <v>18</v>
      </c>
      <c r="D137">
        <v>2025</v>
      </c>
      <c r="E137" s="1">
        <v>45888</v>
      </c>
      <c r="F137" s="5">
        <f t="shared" si="2"/>
        <v>231</v>
      </c>
      <c r="G137" s="2">
        <v>0.82291666666666663</v>
      </c>
      <c r="H137" s="1">
        <v>45889</v>
      </c>
      <c r="I137" s="2">
        <v>0.41666666666666669</v>
      </c>
      <c r="J137">
        <v>10</v>
      </c>
      <c r="K137" t="s">
        <v>9</v>
      </c>
      <c r="L137">
        <v>0</v>
      </c>
      <c r="M137">
        <v>1</v>
      </c>
      <c r="N137">
        <v>0</v>
      </c>
      <c r="O137">
        <v>0</v>
      </c>
      <c r="P137">
        <v>0</v>
      </c>
      <c r="Q137" s="10" t="s">
        <v>59</v>
      </c>
    </row>
    <row r="138" spans="1:18" x14ac:dyDescent="0.25">
      <c r="A138">
        <v>9</v>
      </c>
      <c r="B138" t="s">
        <v>18</v>
      </c>
      <c r="C138" t="s">
        <v>18</v>
      </c>
      <c r="D138">
        <v>2025</v>
      </c>
      <c r="E138" s="1">
        <v>45888</v>
      </c>
      <c r="F138" s="5">
        <f t="shared" si="2"/>
        <v>231</v>
      </c>
      <c r="G138" s="2">
        <v>0.82291666666666663</v>
      </c>
      <c r="H138" s="1">
        <v>45889</v>
      </c>
      <c r="I138" s="2">
        <v>0.41666666666666669</v>
      </c>
      <c r="J138">
        <v>16</v>
      </c>
      <c r="K138" t="s">
        <v>9</v>
      </c>
      <c r="L138">
        <v>2</v>
      </c>
      <c r="M138">
        <v>1</v>
      </c>
      <c r="N138">
        <v>0</v>
      </c>
      <c r="O138">
        <v>0</v>
      </c>
      <c r="P138">
        <v>0</v>
      </c>
      <c r="Q138" s="10" t="s">
        <v>59</v>
      </c>
    </row>
    <row r="139" spans="1:18" x14ac:dyDescent="0.25">
      <c r="A139">
        <v>9</v>
      </c>
      <c r="B139" t="s">
        <v>18</v>
      </c>
      <c r="C139" t="s">
        <v>18</v>
      </c>
      <c r="D139">
        <v>2025</v>
      </c>
      <c r="E139" s="1">
        <v>45888</v>
      </c>
      <c r="F139" s="5">
        <f t="shared" si="2"/>
        <v>231</v>
      </c>
      <c r="G139" s="2">
        <v>0.82291666666666663</v>
      </c>
      <c r="H139" s="1">
        <v>45889</v>
      </c>
      <c r="I139" s="2">
        <v>0.41666666666666669</v>
      </c>
      <c r="J139">
        <v>21</v>
      </c>
      <c r="K139" t="s">
        <v>9</v>
      </c>
      <c r="L139">
        <v>0</v>
      </c>
      <c r="M139">
        <v>0</v>
      </c>
      <c r="N139">
        <v>0</v>
      </c>
      <c r="O139">
        <v>0</v>
      </c>
      <c r="P139">
        <v>0</v>
      </c>
      <c r="Q139" s="10" t="s">
        <v>59</v>
      </c>
    </row>
    <row r="140" spans="1:18" x14ac:dyDescent="0.25">
      <c r="A140">
        <v>10</v>
      </c>
      <c r="B140" t="s">
        <v>18</v>
      </c>
      <c r="C140" t="s">
        <v>18</v>
      </c>
      <c r="D140">
        <v>2025</v>
      </c>
      <c r="E140" s="1">
        <v>45889</v>
      </c>
      <c r="F140" s="5">
        <f t="shared" si="2"/>
        <v>232</v>
      </c>
      <c r="G140" s="2">
        <v>0.88541666666666663</v>
      </c>
      <c r="H140" s="1">
        <v>45890</v>
      </c>
      <c r="I140" s="2">
        <v>0.40625</v>
      </c>
      <c r="J140">
        <v>2</v>
      </c>
      <c r="K140" t="s">
        <v>9</v>
      </c>
      <c r="L140">
        <v>0</v>
      </c>
      <c r="M140">
        <v>0</v>
      </c>
      <c r="N140">
        <v>0</v>
      </c>
      <c r="O140">
        <v>0</v>
      </c>
      <c r="P140">
        <v>0</v>
      </c>
      <c r="Q140" s="10" t="s">
        <v>59</v>
      </c>
    </row>
    <row r="141" spans="1:18" x14ac:dyDescent="0.25">
      <c r="A141">
        <v>10</v>
      </c>
      <c r="B141" t="s">
        <v>18</v>
      </c>
      <c r="C141" t="s">
        <v>18</v>
      </c>
      <c r="D141">
        <v>2025</v>
      </c>
      <c r="E141" s="1">
        <v>45889</v>
      </c>
      <c r="F141" s="5">
        <f t="shared" si="2"/>
        <v>232</v>
      </c>
      <c r="G141" s="2">
        <v>0.88541666666666663</v>
      </c>
      <c r="H141" s="1">
        <v>45890</v>
      </c>
      <c r="I141" s="2">
        <v>0.40625</v>
      </c>
      <c r="J141">
        <v>5</v>
      </c>
      <c r="K141" t="s">
        <v>9</v>
      </c>
      <c r="L141">
        <v>1</v>
      </c>
      <c r="M141">
        <v>0</v>
      </c>
      <c r="N141">
        <v>0</v>
      </c>
      <c r="O141">
        <v>0</v>
      </c>
      <c r="P141">
        <v>0</v>
      </c>
      <c r="Q141" s="10" t="s">
        <v>59</v>
      </c>
    </row>
    <row r="142" spans="1:18" x14ac:dyDescent="0.25">
      <c r="A142">
        <v>10</v>
      </c>
      <c r="B142" t="s">
        <v>18</v>
      </c>
      <c r="C142" t="s">
        <v>18</v>
      </c>
      <c r="D142">
        <v>2025</v>
      </c>
      <c r="E142" s="1">
        <v>45889</v>
      </c>
      <c r="F142" s="5">
        <f t="shared" si="2"/>
        <v>232</v>
      </c>
      <c r="G142" s="2">
        <v>0.88541666666666663</v>
      </c>
      <c r="H142" s="1">
        <v>45890</v>
      </c>
      <c r="I142" s="2">
        <v>0.40625</v>
      </c>
      <c r="J142">
        <v>7</v>
      </c>
      <c r="K142" t="s">
        <v>9</v>
      </c>
      <c r="L142">
        <v>1</v>
      </c>
      <c r="M142">
        <v>0</v>
      </c>
      <c r="N142">
        <v>0</v>
      </c>
      <c r="O142">
        <v>0</v>
      </c>
      <c r="P142">
        <v>0</v>
      </c>
      <c r="Q142" s="10" t="s">
        <v>59</v>
      </c>
    </row>
    <row r="143" spans="1:18" x14ac:dyDescent="0.25">
      <c r="A143">
        <v>10</v>
      </c>
      <c r="B143" t="s">
        <v>18</v>
      </c>
      <c r="C143" t="s">
        <v>18</v>
      </c>
      <c r="D143">
        <v>2025</v>
      </c>
      <c r="E143" s="1">
        <v>45889</v>
      </c>
      <c r="F143" s="5">
        <f t="shared" si="2"/>
        <v>232</v>
      </c>
      <c r="G143" s="2">
        <v>0.88541666666666663</v>
      </c>
      <c r="H143" s="1">
        <v>45890</v>
      </c>
      <c r="I143" s="2">
        <v>0.40625</v>
      </c>
      <c r="J143">
        <v>10</v>
      </c>
      <c r="K143" t="s">
        <v>9</v>
      </c>
      <c r="L143">
        <v>3</v>
      </c>
      <c r="M143">
        <v>0</v>
      </c>
      <c r="N143">
        <v>0</v>
      </c>
      <c r="O143">
        <v>0</v>
      </c>
      <c r="P143">
        <v>0</v>
      </c>
      <c r="Q143" s="10" t="s">
        <v>59</v>
      </c>
    </row>
    <row r="144" spans="1:18" x14ac:dyDescent="0.25">
      <c r="A144">
        <v>10</v>
      </c>
      <c r="B144" t="s">
        <v>18</v>
      </c>
      <c r="C144" t="s">
        <v>18</v>
      </c>
      <c r="D144">
        <v>2025</v>
      </c>
      <c r="E144" s="1">
        <v>45889</v>
      </c>
      <c r="F144" s="5">
        <f t="shared" si="2"/>
        <v>232</v>
      </c>
      <c r="G144" s="2">
        <v>0.88541666666666663</v>
      </c>
      <c r="H144" s="1">
        <v>45890</v>
      </c>
      <c r="I144" s="2">
        <v>0.40625</v>
      </c>
      <c r="J144">
        <v>12</v>
      </c>
      <c r="K144" t="s">
        <v>9</v>
      </c>
      <c r="L144">
        <v>0</v>
      </c>
      <c r="M144">
        <v>0</v>
      </c>
      <c r="N144">
        <v>0</v>
      </c>
      <c r="O144">
        <v>0</v>
      </c>
      <c r="P144">
        <v>0</v>
      </c>
      <c r="Q144" s="10" t="s">
        <v>59</v>
      </c>
    </row>
    <row r="145" spans="1:17" x14ac:dyDescent="0.25">
      <c r="A145">
        <v>1</v>
      </c>
      <c r="B145" t="s">
        <v>18</v>
      </c>
      <c r="C145" t="s">
        <v>18</v>
      </c>
      <c r="D145">
        <v>2020</v>
      </c>
      <c r="E145" s="1">
        <v>44047</v>
      </c>
      <c r="F145" s="5">
        <f t="shared" si="2"/>
        <v>217</v>
      </c>
      <c r="G145" s="2">
        <v>0.89027777777777783</v>
      </c>
      <c r="H145" s="1">
        <v>44048</v>
      </c>
      <c r="I145" s="2">
        <v>0.47916666666666669</v>
      </c>
      <c r="J145">
        <v>6</v>
      </c>
      <c r="K145" t="s">
        <v>7</v>
      </c>
      <c r="L145">
        <v>73</v>
      </c>
      <c r="M145">
        <v>43</v>
      </c>
      <c r="N145">
        <v>0</v>
      </c>
      <c r="O145">
        <v>1</v>
      </c>
      <c r="P145">
        <v>0</v>
      </c>
      <c r="Q145" s="10" t="s">
        <v>59</v>
      </c>
    </row>
    <row r="146" spans="1:17" x14ac:dyDescent="0.25">
      <c r="A146">
        <v>1</v>
      </c>
      <c r="B146" t="s">
        <v>18</v>
      </c>
      <c r="C146" t="s">
        <v>18</v>
      </c>
      <c r="D146">
        <v>2020</v>
      </c>
      <c r="E146" s="1">
        <v>44047</v>
      </c>
      <c r="F146" s="5">
        <f t="shared" si="2"/>
        <v>217</v>
      </c>
      <c r="G146" s="2">
        <v>0.89027777777777783</v>
      </c>
      <c r="H146" s="1">
        <v>44048</v>
      </c>
      <c r="I146" s="2">
        <v>0.47916666666666669</v>
      </c>
      <c r="J146">
        <v>7</v>
      </c>
      <c r="K146" t="s">
        <v>7</v>
      </c>
      <c r="L146">
        <v>69</v>
      </c>
      <c r="M146">
        <v>8</v>
      </c>
      <c r="N146">
        <v>0</v>
      </c>
      <c r="O146">
        <v>0</v>
      </c>
      <c r="P146">
        <v>0</v>
      </c>
      <c r="Q146" s="10" t="s">
        <v>59</v>
      </c>
    </row>
    <row r="147" spans="1:17" x14ac:dyDescent="0.25">
      <c r="A147">
        <v>1</v>
      </c>
      <c r="B147" t="s">
        <v>18</v>
      </c>
      <c r="C147" t="s">
        <v>18</v>
      </c>
      <c r="D147">
        <v>2020</v>
      </c>
      <c r="E147" s="1">
        <v>44047</v>
      </c>
      <c r="F147" s="5">
        <f t="shared" si="2"/>
        <v>217</v>
      </c>
      <c r="G147" s="2">
        <v>0.89027777777777783</v>
      </c>
      <c r="H147" s="1">
        <v>44048</v>
      </c>
      <c r="I147" s="2">
        <v>0.47916666666666669</v>
      </c>
      <c r="J147">
        <v>8</v>
      </c>
      <c r="K147" t="s">
        <v>7</v>
      </c>
      <c r="L147">
        <v>9</v>
      </c>
      <c r="M147">
        <v>25</v>
      </c>
      <c r="N147">
        <v>0</v>
      </c>
      <c r="O147">
        <v>0</v>
      </c>
      <c r="P147">
        <v>0</v>
      </c>
      <c r="Q147" s="10" t="s">
        <v>59</v>
      </c>
    </row>
    <row r="148" spans="1:17" x14ac:dyDescent="0.25">
      <c r="A148">
        <v>1</v>
      </c>
      <c r="B148" t="s">
        <v>18</v>
      </c>
      <c r="C148" t="s">
        <v>18</v>
      </c>
      <c r="D148">
        <v>2020</v>
      </c>
      <c r="E148" s="1">
        <v>44047</v>
      </c>
      <c r="F148" s="5">
        <f t="shared" si="2"/>
        <v>217</v>
      </c>
      <c r="G148" s="2">
        <v>0.89027777777777783</v>
      </c>
      <c r="H148" s="1">
        <v>44048</v>
      </c>
      <c r="I148" s="2">
        <v>0.47916666666666669</v>
      </c>
      <c r="J148">
        <v>16</v>
      </c>
      <c r="K148" t="s">
        <v>7</v>
      </c>
      <c r="L148">
        <v>42</v>
      </c>
      <c r="M148">
        <v>8</v>
      </c>
      <c r="N148">
        <v>0</v>
      </c>
      <c r="O148">
        <v>0</v>
      </c>
      <c r="P148">
        <v>0</v>
      </c>
      <c r="Q148" s="10" t="s">
        <v>59</v>
      </c>
    </row>
    <row r="149" spans="1:17" x14ac:dyDescent="0.25">
      <c r="A149">
        <v>1</v>
      </c>
      <c r="B149" t="s">
        <v>18</v>
      </c>
      <c r="C149" t="s">
        <v>18</v>
      </c>
      <c r="D149">
        <v>2020</v>
      </c>
      <c r="E149" s="1">
        <v>44047</v>
      </c>
      <c r="F149" s="5">
        <f t="shared" si="2"/>
        <v>217</v>
      </c>
      <c r="G149" s="2">
        <v>0.89027777777777783</v>
      </c>
      <c r="H149" s="1">
        <v>44048</v>
      </c>
      <c r="I149" s="2">
        <v>0.47916666666666669</v>
      </c>
      <c r="J149">
        <v>20</v>
      </c>
      <c r="K149" t="s">
        <v>7</v>
      </c>
      <c r="L149">
        <v>142</v>
      </c>
      <c r="M149">
        <v>17</v>
      </c>
      <c r="N149">
        <v>0</v>
      </c>
      <c r="O149">
        <v>0</v>
      </c>
      <c r="P149">
        <v>0</v>
      </c>
      <c r="Q149" s="10" t="s">
        <v>59</v>
      </c>
    </row>
    <row r="150" spans="1:17" x14ac:dyDescent="0.25">
      <c r="A150">
        <v>2</v>
      </c>
      <c r="B150" t="s">
        <v>18</v>
      </c>
      <c r="C150" t="s">
        <v>19</v>
      </c>
      <c r="D150">
        <v>2020</v>
      </c>
      <c r="E150" s="1">
        <v>44048</v>
      </c>
      <c r="F150" s="5">
        <f t="shared" si="2"/>
        <v>218</v>
      </c>
      <c r="G150" s="2">
        <v>0.82430555555555562</v>
      </c>
      <c r="H150" s="1">
        <v>44049</v>
      </c>
      <c r="I150" s="2">
        <v>0.49861111111111112</v>
      </c>
      <c r="J150">
        <v>20</v>
      </c>
      <c r="K150" t="s">
        <v>7</v>
      </c>
      <c r="L150">
        <v>5</v>
      </c>
      <c r="M150">
        <v>2</v>
      </c>
      <c r="N150">
        <v>0</v>
      </c>
      <c r="O150">
        <v>0</v>
      </c>
      <c r="P150">
        <v>0</v>
      </c>
      <c r="Q150" s="10" t="s">
        <v>59</v>
      </c>
    </row>
    <row r="151" spans="1:17" x14ac:dyDescent="0.25">
      <c r="A151">
        <v>2</v>
      </c>
      <c r="B151" t="s">
        <v>18</v>
      </c>
      <c r="C151" t="s">
        <v>19</v>
      </c>
      <c r="D151">
        <v>2020</v>
      </c>
      <c r="E151" s="1">
        <v>44048</v>
      </c>
      <c r="F151" s="5">
        <f t="shared" si="2"/>
        <v>218</v>
      </c>
      <c r="G151" s="2">
        <v>0.82430555555555562</v>
      </c>
      <c r="H151" s="1">
        <v>44049</v>
      </c>
      <c r="I151" s="2">
        <v>0.49861111111111112</v>
      </c>
      <c r="J151">
        <v>12</v>
      </c>
      <c r="K151" t="s">
        <v>7</v>
      </c>
      <c r="L151">
        <v>15</v>
      </c>
      <c r="M151">
        <v>0</v>
      </c>
      <c r="N151">
        <v>0</v>
      </c>
      <c r="O151">
        <v>0</v>
      </c>
      <c r="P151">
        <v>0</v>
      </c>
      <c r="Q151" s="10" t="s">
        <v>59</v>
      </c>
    </row>
    <row r="152" spans="1:17" x14ac:dyDescent="0.25">
      <c r="A152">
        <v>2</v>
      </c>
      <c r="B152" t="s">
        <v>18</v>
      </c>
      <c r="C152" t="s">
        <v>19</v>
      </c>
      <c r="D152">
        <v>2020</v>
      </c>
      <c r="E152" s="1">
        <v>44048</v>
      </c>
      <c r="F152" s="5">
        <f t="shared" si="2"/>
        <v>218</v>
      </c>
      <c r="G152" s="2">
        <v>0.82430555555555562</v>
      </c>
      <c r="H152" s="1">
        <v>44049</v>
      </c>
      <c r="I152" s="2">
        <v>0.49861111111111112</v>
      </c>
      <c r="J152">
        <v>11</v>
      </c>
      <c r="K152" t="s">
        <v>7</v>
      </c>
      <c r="L152">
        <v>52</v>
      </c>
      <c r="M152">
        <v>0</v>
      </c>
      <c r="N152">
        <v>0</v>
      </c>
      <c r="O152">
        <v>0</v>
      </c>
      <c r="P152">
        <v>0</v>
      </c>
      <c r="Q152" s="10" t="s">
        <v>59</v>
      </c>
    </row>
    <row r="153" spans="1:17" x14ac:dyDescent="0.25">
      <c r="A153">
        <v>2</v>
      </c>
      <c r="B153" t="s">
        <v>18</v>
      </c>
      <c r="C153" t="s">
        <v>19</v>
      </c>
      <c r="D153">
        <v>2020</v>
      </c>
      <c r="E153" s="1">
        <v>44048</v>
      </c>
      <c r="F153" s="5">
        <f t="shared" si="2"/>
        <v>218</v>
      </c>
      <c r="G153" s="2">
        <v>0.82430555555555562</v>
      </c>
      <c r="H153" s="1">
        <v>44049</v>
      </c>
      <c r="I153" s="2">
        <v>0.49861111111111112</v>
      </c>
      <c r="J153">
        <v>3</v>
      </c>
      <c r="K153" t="s">
        <v>7</v>
      </c>
      <c r="L153">
        <v>37</v>
      </c>
      <c r="M153">
        <v>0</v>
      </c>
      <c r="N153">
        <v>0</v>
      </c>
      <c r="O153">
        <v>0</v>
      </c>
      <c r="P153">
        <v>0</v>
      </c>
      <c r="Q153" s="10" t="s">
        <v>59</v>
      </c>
    </row>
    <row r="154" spans="1:17" x14ac:dyDescent="0.25">
      <c r="A154">
        <v>2</v>
      </c>
      <c r="B154" t="s">
        <v>18</v>
      </c>
      <c r="C154" t="s">
        <v>19</v>
      </c>
      <c r="D154">
        <v>2020</v>
      </c>
      <c r="E154" s="1">
        <v>44048</v>
      </c>
      <c r="F154" s="5">
        <f t="shared" si="2"/>
        <v>218</v>
      </c>
      <c r="G154" s="2">
        <v>0.82430555555555562</v>
      </c>
      <c r="H154" s="1">
        <v>44049</v>
      </c>
      <c r="I154" s="2">
        <v>0.49861111111111112</v>
      </c>
      <c r="J154">
        <v>2</v>
      </c>
      <c r="K154" t="s">
        <v>7</v>
      </c>
      <c r="L154">
        <v>58</v>
      </c>
      <c r="M154">
        <v>5</v>
      </c>
      <c r="N154">
        <v>0</v>
      </c>
      <c r="O154">
        <v>0</v>
      </c>
      <c r="P154">
        <v>0</v>
      </c>
      <c r="Q154" s="10" t="s">
        <v>59</v>
      </c>
    </row>
    <row r="155" spans="1:17" x14ac:dyDescent="0.25">
      <c r="A155">
        <v>3</v>
      </c>
      <c r="B155" t="s">
        <v>20</v>
      </c>
      <c r="C155" t="s">
        <v>18</v>
      </c>
      <c r="D155">
        <v>2020</v>
      </c>
      <c r="E155" s="1">
        <v>44049</v>
      </c>
      <c r="F155" s="5">
        <f t="shared" si="2"/>
        <v>219</v>
      </c>
      <c r="G155" s="2">
        <v>0.78611111111111109</v>
      </c>
      <c r="H155" s="1">
        <v>44050</v>
      </c>
      <c r="I155" s="2">
        <v>0.47569444444444442</v>
      </c>
      <c r="J155">
        <v>19</v>
      </c>
      <c r="K155" t="s">
        <v>7</v>
      </c>
      <c r="L155">
        <v>8</v>
      </c>
      <c r="M155">
        <v>18</v>
      </c>
      <c r="N155">
        <v>0</v>
      </c>
      <c r="O155">
        <v>0</v>
      </c>
      <c r="P155">
        <v>0</v>
      </c>
      <c r="Q155" s="10" t="s">
        <v>59</v>
      </c>
    </row>
    <row r="156" spans="1:17" x14ac:dyDescent="0.25">
      <c r="A156">
        <v>3</v>
      </c>
      <c r="B156" t="s">
        <v>20</v>
      </c>
      <c r="C156" t="s">
        <v>18</v>
      </c>
      <c r="D156">
        <v>2020</v>
      </c>
      <c r="E156" s="1">
        <v>44049</v>
      </c>
      <c r="F156" s="5">
        <f t="shared" si="2"/>
        <v>219</v>
      </c>
      <c r="G156" s="2">
        <v>0.78611111111111109</v>
      </c>
      <c r="H156" s="1">
        <v>44050</v>
      </c>
      <c r="I156" s="2">
        <v>0.47569444444444442</v>
      </c>
      <c r="J156">
        <v>15</v>
      </c>
      <c r="K156" t="s">
        <v>7</v>
      </c>
      <c r="L156">
        <v>30</v>
      </c>
      <c r="M156">
        <v>10</v>
      </c>
      <c r="N156">
        <v>0</v>
      </c>
      <c r="O156">
        <v>0</v>
      </c>
      <c r="P156">
        <v>0</v>
      </c>
      <c r="Q156" s="10" t="s">
        <v>59</v>
      </c>
    </row>
    <row r="157" spans="1:17" x14ac:dyDescent="0.25">
      <c r="A157">
        <v>3</v>
      </c>
      <c r="B157" t="s">
        <v>20</v>
      </c>
      <c r="C157" t="s">
        <v>18</v>
      </c>
      <c r="D157">
        <v>2020</v>
      </c>
      <c r="E157" s="1">
        <v>44049</v>
      </c>
      <c r="F157" s="5">
        <f t="shared" si="2"/>
        <v>219</v>
      </c>
      <c r="G157" s="2">
        <v>0.78611111111111109</v>
      </c>
      <c r="H157" s="1">
        <v>44050</v>
      </c>
      <c r="I157" s="2">
        <v>0.47569444444444442</v>
      </c>
      <c r="J157">
        <v>11</v>
      </c>
      <c r="K157" t="s">
        <v>7</v>
      </c>
      <c r="L157">
        <v>105</v>
      </c>
      <c r="M157">
        <v>3</v>
      </c>
      <c r="N157">
        <v>0</v>
      </c>
      <c r="O157">
        <v>0</v>
      </c>
      <c r="P157">
        <v>0</v>
      </c>
      <c r="Q157" s="10" t="s">
        <v>59</v>
      </c>
    </row>
    <row r="158" spans="1:17" x14ac:dyDescent="0.25">
      <c r="A158">
        <v>3</v>
      </c>
      <c r="B158" t="s">
        <v>20</v>
      </c>
      <c r="C158" t="s">
        <v>18</v>
      </c>
      <c r="D158">
        <v>2020</v>
      </c>
      <c r="E158" s="1">
        <v>44049</v>
      </c>
      <c r="F158" s="5">
        <f t="shared" si="2"/>
        <v>219</v>
      </c>
      <c r="G158" s="2">
        <v>0.78611111111111109</v>
      </c>
      <c r="H158" s="1">
        <v>44050</v>
      </c>
      <c r="I158" s="2">
        <v>0.47569444444444442</v>
      </c>
      <c r="J158">
        <v>8</v>
      </c>
      <c r="K158" t="s">
        <v>7</v>
      </c>
      <c r="L158">
        <v>28</v>
      </c>
      <c r="M158">
        <v>3</v>
      </c>
      <c r="N158">
        <v>0</v>
      </c>
      <c r="O158">
        <v>0</v>
      </c>
      <c r="P158">
        <v>0</v>
      </c>
      <c r="Q158" s="10" t="s">
        <v>59</v>
      </c>
    </row>
    <row r="159" spans="1:17" x14ac:dyDescent="0.25">
      <c r="A159">
        <v>3</v>
      </c>
      <c r="B159" t="s">
        <v>20</v>
      </c>
      <c r="C159" t="s">
        <v>18</v>
      </c>
      <c r="D159">
        <v>2020</v>
      </c>
      <c r="E159" s="1">
        <v>44049</v>
      </c>
      <c r="F159" s="5">
        <f t="shared" si="2"/>
        <v>219</v>
      </c>
      <c r="G159" s="2">
        <v>0.78611111111111109</v>
      </c>
      <c r="H159" s="1">
        <v>44050</v>
      </c>
      <c r="I159" s="2">
        <v>0.47569444444444442</v>
      </c>
      <c r="J159">
        <v>7</v>
      </c>
      <c r="K159" t="s">
        <v>7</v>
      </c>
      <c r="L159">
        <v>14</v>
      </c>
      <c r="M159">
        <v>27</v>
      </c>
      <c r="N159">
        <v>0</v>
      </c>
      <c r="O159">
        <v>0</v>
      </c>
      <c r="P159">
        <v>0</v>
      </c>
      <c r="Q159" s="10" t="s">
        <v>59</v>
      </c>
    </row>
    <row r="160" spans="1:17" x14ac:dyDescent="0.25">
      <c r="A160">
        <v>4</v>
      </c>
      <c r="B160" t="s">
        <v>18</v>
      </c>
      <c r="C160" t="s">
        <v>18</v>
      </c>
      <c r="D160">
        <v>2020</v>
      </c>
      <c r="E160" s="1">
        <v>44050</v>
      </c>
      <c r="F160" s="5">
        <f t="shared" si="2"/>
        <v>220</v>
      </c>
      <c r="G160" s="2">
        <v>0.80486111111111114</v>
      </c>
      <c r="H160" s="1">
        <v>44051</v>
      </c>
      <c r="I160" s="2">
        <v>0.46319444444444446</v>
      </c>
      <c r="J160">
        <v>20</v>
      </c>
      <c r="K160" t="s">
        <v>7</v>
      </c>
      <c r="L160">
        <v>20</v>
      </c>
      <c r="M160">
        <v>0</v>
      </c>
      <c r="N160">
        <v>0</v>
      </c>
      <c r="O160">
        <v>0</v>
      </c>
      <c r="P160">
        <v>0</v>
      </c>
      <c r="Q160" s="10" t="s">
        <v>59</v>
      </c>
    </row>
    <row r="161" spans="1:18" x14ac:dyDescent="0.25">
      <c r="A161">
        <v>4</v>
      </c>
      <c r="B161" t="s">
        <v>18</v>
      </c>
      <c r="C161" t="s">
        <v>18</v>
      </c>
      <c r="D161">
        <v>2020</v>
      </c>
      <c r="E161" s="1">
        <v>44050</v>
      </c>
      <c r="F161" s="5">
        <f t="shared" si="2"/>
        <v>220</v>
      </c>
      <c r="G161" s="2">
        <v>0.80486111111111114</v>
      </c>
      <c r="H161" s="1">
        <v>44051</v>
      </c>
      <c r="I161" s="2">
        <v>0.46319444444444446</v>
      </c>
      <c r="J161">
        <v>18</v>
      </c>
      <c r="K161" t="s">
        <v>7</v>
      </c>
      <c r="L161">
        <v>0</v>
      </c>
      <c r="M161">
        <v>0</v>
      </c>
      <c r="N161">
        <v>0</v>
      </c>
      <c r="O161">
        <v>0</v>
      </c>
      <c r="P161">
        <v>0</v>
      </c>
      <c r="Q161" s="10" t="s">
        <v>59</v>
      </c>
    </row>
    <row r="162" spans="1:18" x14ac:dyDescent="0.25">
      <c r="A162">
        <v>4</v>
      </c>
      <c r="B162" t="s">
        <v>18</v>
      </c>
      <c r="C162" t="s">
        <v>18</v>
      </c>
      <c r="D162">
        <v>2020</v>
      </c>
      <c r="E162" s="1">
        <v>44050</v>
      </c>
      <c r="F162" s="5">
        <f t="shared" si="2"/>
        <v>220</v>
      </c>
      <c r="G162" s="2">
        <v>0.80486111111111114</v>
      </c>
      <c r="H162" s="1">
        <v>44051</v>
      </c>
      <c r="I162" s="2">
        <v>0.46319444444444446</v>
      </c>
      <c r="J162">
        <v>14</v>
      </c>
      <c r="K162" t="s">
        <v>7</v>
      </c>
      <c r="L162">
        <v>9</v>
      </c>
      <c r="M162">
        <v>1</v>
      </c>
      <c r="N162">
        <v>0</v>
      </c>
      <c r="O162">
        <v>0</v>
      </c>
      <c r="P162">
        <v>0</v>
      </c>
      <c r="Q162" s="10" t="s">
        <v>59</v>
      </c>
    </row>
    <row r="163" spans="1:18" x14ac:dyDescent="0.25">
      <c r="A163">
        <v>4</v>
      </c>
      <c r="B163" t="s">
        <v>18</v>
      </c>
      <c r="C163" t="s">
        <v>18</v>
      </c>
      <c r="D163">
        <v>2020</v>
      </c>
      <c r="E163" s="1">
        <v>44050</v>
      </c>
      <c r="F163" s="5">
        <f t="shared" si="2"/>
        <v>220</v>
      </c>
      <c r="G163" s="2">
        <v>0.80486111111111114</v>
      </c>
      <c r="H163" s="1">
        <v>44051</v>
      </c>
      <c r="I163" s="2">
        <v>0.46319444444444446</v>
      </c>
      <c r="J163">
        <v>7</v>
      </c>
      <c r="K163" t="s">
        <v>7</v>
      </c>
      <c r="L163">
        <v>7</v>
      </c>
      <c r="M163">
        <v>1</v>
      </c>
      <c r="N163">
        <v>0</v>
      </c>
      <c r="O163">
        <v>0</v>
      </c>
      <c r="P163">
        <v>0</v>
      </c>
      <c r="Q163" s="10" t="s">
        <v>59</v>
      </c>
    </row>
    <row r="164" spans="1:18" x14ac:dyDescent="0.25">
      <c r="A164">
        <v>4</v>
      </c>
      <c r="B164" t="s">
        <v>18</v>
      </c>
      <c r="C164" t="s">
        <v>18</v>
      </c>
      <c r="D164">
        <v>2020</v>
      </c>
      <c r="E164" s="1">
        <v>44050</v>
      </c>
      <c r="F164" s="5">
        <f t="shared" si="2"/>
        <v>220</v>
      </c>
      <c r="G164" s="2">
        <v>0.80486111111111114</v>
      </c>
      <c r="H164" s="1">
        <v>44051</v>
      </c>
      <c r="I164" s="2">
        <v>0.46319444444444446</v>
      </c>
      <c r="J164">
        <v>6</v>
      </c>
      <c r="K164" t="s">
        <v>7</v>
      </c>
      <c r="L164">
        <v>11</v>
      </c>
      <c r="M164">
        <v>0</v>
      </c>
      <c r="N164">
        <v>0</v>
      </c>
      <c r="O164">
        <v>0</v>
      </c>
      <c r="P164">
        <v>0</v>
      </c>
      <c r="Q164" s="10" t="s">
        <v>59</v>
      </c>
    </row>
    <row r="165" spans="1:18" x14ac:dyDescent="0.25">
      <c r="A165">
        <v>5</v>
      </c>
      <c r="B165" t="s">
        <v>22</v>
      </c>
      <c r="C165" t="s">
        <v>23</v>
      </c>
      <c r="D165">
        <v>2020</v>
      </c>
      <c r="E165" s="1">
        <v>44051</v>
      </c>
      <c r="F165" s="5">
        <f t="shared" si="2"/>
        <v>221</v>
      </c>
      <c r="G165" s="2">
        <v>0.8208333333333333</v>
      </c>
      <c r="H165" s="1">
        <v>44052</v>
      </c>
      <c r="I165" s="2">
        <v>0.45833333333333331</v>
      </c>
      <c r="J165">
        <v>19</v>
      </c>
      <c r="K165" t="s">
        <v>7</v>
      </c>
      <c r="L165">
        <v>86</v>
      </c>
      <c r="M165">
        <v>4</v>
      </c>
      <c r="N165">
        <v>0</v>
      </c>
      <c r="O165">
        <v>0</v>
      </c>
      <c r="P165">
        <v>0</v>
      </c>
      <c r="Q165" s="10" t="s">
        <v>59</v>
      </c>
    </row>
    <row r="166" spans="1:18" x14ac:dyDescent="0.25">
      <c r="A166">
        <v>5</v>
      </c>
      <c r="B166" t="s">
        <v>22</v>
      </c>
      <c r="C166" t="s">
        <v>23</v>
      </c>
      <c r="D166">
        <v>2020</v>
      </c>
      <c r="E166" s="1">
        <v>44051</v>
      </c>
      <c r="F166" s="5">
        <f t="shared" si="2"/>
        <v>221</v>
      </c>
      <c r="G166" s="2">
        <v>0.8208333333333333</v>
      </c>
      <c r="H166" s="1">
        <v>44052</v>
      </c>
      <c r="I166" s="2">
        <v>0.45833333333333331</v>
      </c>
      <c r="J166">
        <v>13</v>
      </c>
      <c r="K166" t="s">
        <v>7</v>
      </c>
      <c r="L166">
        <v>40</v>
      </c>
      <c r="M166">
        <v>14</v>
      </c>
      <c r="N166">
        <v>0</v>
      </c>
      <c r="O166">
        <v>0</v>
      </c>
      <c r="P166">
        <v>0</v>
      </c>
      <c r="Q166" s="10" t="s">
        <v>59</v>
      </c>
    </row>
    <row r="167" spans="1:18" x14ac:dyDescent="0.25">
      <c r="A167">
        <v>5</v>
      </c>
      <c r="B167" t="s">
        <v>22</v>
      </c>
      <c r="C167" t="s">
        <v>23</v>
      </c>
      <c r="D167">
        <v>2020</v>
      </c>
      <c r="E167" s="1">
        <v>44051</v>
      </c>
      <c r="F167" s="5">
        <f t="shared" si="2"/>
        <v>221</v>
      </c>
      <c r="G167" s="2">
        <v>0.8208333333333333</v>
      </c>
      <c r="H167" s="1">
        <v>44052</v>
      </c>
      <c r="I167" s="2">
        <v>0.45833333333333331</v>
      </c>
      <c r="J167">
        <v>11</v>
      </c>
      <c r="K167" t="s">
        <v>7</v>
      </c>
      <c r="L167">
        <v>17</v>
      </c>
      <c r="M167">
        <v>7</v>
      </c>
      <c r="N167">
        <v>0</v>
      </c>
      <c r="O167">
        <v>0</v>
      </c>
      <c r="P167">
        <v>0</v>
      </c>
      <c r="Q167" s="10" t="s">
        <v>59</v>
      </c>
    </row>
    <row r="168" spans="1:18" x14ac:dyDescent="0.25">
      <c r="A168">
        <v>5</v>
      </c>
      <c r="B168" t="s">
        <v>22</v>
      </c>
      <c r="C168" t="s">
        <v>23</v>
      </c>
      <c r="D168">
        <v>2020</v>
      </c>
      <c r="E168" s="1">
        <v>44051</v>
      </c>
      <c r="F168" s="5">
        <f t="shared" si="2"/>
        <v>221</v>
      </c>
      <c r="G168" s="2">
        <v>0.8208333333333333</v>
      </c>
      <c r="H168" s="1">
        <v>44052</v>
      </c>
      <c r="I168" s="2">
        <v>0.45833333333333331</v>
      </c>
      <c r="J168">
        <v>7</v>
      </c>
      <c r="K168" t="s">
        <v>7</v>
      </c>
      <c r="L168">
        <v>31</v>
      </c>
      <c r="M168">
        <v>8</v>
      </c>
      <c r="N168">
        <v>0</v>
      </c>
      <c r="O168">
        <v>0</v>
      </c>
      <c r="P168">
        <v>1</v>
      </c>
      <c r="Q168" s="10" t="s">
        <v>59</v>
      </c>
      <c r="R168" t="s">
        <v>41</v>
      </c>
    </row>
    <row r="169" spans="1:18" x14ac:dyDescent="0.25">
      <c r="A169">
        <v>6</v>
      </c>
      <c r="B169" t="s">
        <v>28</v>
      </c>
      <c r="C169" t="s">
        <v>18</v>
      </c>
      <c r="D169">
        <v>2020</v>
      </c>
      <c r="E169" s="1">
        <v>44054</v>
      </c>
      <c r="F169" s="5">
        <f t="shared" si="2"/>
        <v>224</v>
      </c>
      <c r="G169" s="2">
        <v>0.88541666666666663</v>
      </c>
      <c r="H169" s="1">
        <v>44055</v>
      </c>
      <c r="I169" s="2">
        <v>0.4375</v>
      </c>
      <c r="J169">
        <v>19</v>
      </c>
      <c r="K169" t="s">
        <v>7</v>
      </c>
      <c r="L169">
        <v>14</v>
      </c>
      <c r="M169">
        <v>1</v>
      </c>
      <c r="N169">
        <v>0</v>
      </c>
      <c r="O169">
        <v>0</v>
      </c>
      <c r="P169">
        <v>0</v>
      </c>
      <c r="Q169" s="10" t="s">
        <v>59</v>
      </c>
    </row>
    <row r="170" spans="1:18" x14ac:dyDescent="0.25">
      <c r="A170">
        <v>6</v>
      </c>
      <c r="B170" t="s">
        <v>28</v>
      </c>
      <c r="C170" t="s">
        <v>18</v>
      </c>
      <c r="D170">
        <v>2020</v>
      </c>
      <c r="E170" s="1">
        <v>44054</v>
      </c>
      <c r="F170" s="5">
        <f t="shared" si="2"/>
        <v>224</v>
      </c>
      <c r="G170" s="2">
        <v>0.88541666666666663</v>
      </c>
      <c r="H170" s="1">
        <v>44055</v>
      </c>
      <c r="I170" s="2">
        <v>0.4375</v>
      </c>
      <c r="J170">
        <v>7</v>
      </c>
      <c r="K170" t="s">
        <v>7</v>
      </c>
      <c r="L170">
        <v>78</v>
      </c>
      <c r="M170">
        <v>12</v>
      </c>
      <c r="N170">
        <v>0</v>
      </c>
      <c r="O170">
        <v>0</v>
      </c>
      <c r="P170">
        <v>0</v>
      </c>
      <c r="Q170" s="10" t="s">
        <v>59</v>
      </c>
    </row>
    <row r="171" spans="1:18" x14ac:dyDescent="0.25">
      <c r="A171">
        <v>6</v>
      </c>
      <c r="B171" t="s">
        <v>28</v>
      </c>
      <c r="C171" t="s">
        <v>18</v>
      </c>
      <c r="D171">
        <v>2020</v>
      </c>
      <c r="E171" s="1">
        <v>44054</v>
      </c>
      <c r="F171" s="5">
        <f t="shared" si="2"/>
        <v>224</v>
      </c>
      <c r="G171" s="2">
        <v>0.88541666666666663</v>
      </c>
      <c r="H171" s="1">
        <v>44055</v>
      </c>
      <c r="I171" s="2">
        <v>0.4375</v>
      </c>
      <c r="J171">
        <v>5</v>
      </c>
      <c r="K171" t="s">
        <v>7</v>
      </c>
      <c r="L171">
        <v>71</v>
      </c>
      <c r="M171">
        <v>7</v>
      </c>
      <c r="N171">
        <v>0</v>
      </c>
      <c r="O171">
        <v>0</v>
      </c>
      <c r="P171">
        <v>0</v>
      </c>
      <c r="Q171" s="10" t="s">
        <v>59</v>
      </c>
    </row>
    <row r="172" spans="1:18" x14ac:dyDescent="0.25">
      <c r="A172">
        <v>6</v>
      </c>
      <c r="B172" t="s">
        <v>28</v>
      </c>
      <c r="C172" t="s">
        <v>18</v>
      </c>
      <c r="D172">
        <v>2020</v>
      </c>
      <c r="E172" s="1">
        <v>44054</v>
      </c>
      <c r="F172" s="5">
        <f t="shared" si="2"/>
        <v>224</v>
      </c>
      <c r="G172" s="2">
        <v>0.88541666666666663</v>
      </c>
      <c r="H172" s="1">
        <v>44055</v>
      </c>
      <c r="I172" s="2">
        <v>0.4375</v>
      </c>
      <c r="J172">
        <v>4</v>
      </c>
      <c r="K172" t="s">
        <v>7</v>
      </c>
      <c r="L172">
        <v>17</v>
      </c>
      <c r="M172">
        <v>3</v>
      </c>
      <c r="N172">
        <v>0</v>
      </c>
      <c r="O172">
        <v>0</v>
      </c>
      <c r="P172">
        <v>0</v>
      </c>
      <c r="Q172" s="10" t="s">
        <v>59</v>
      </c>
    </row>
    <row r="173" spans="1:18" x14ac:dyDescent="0.25">
      <c r="A173">
        <v>6</v>
      </c>
      <c r="B173" t="s">
        <v>28</v>
      </c>
      <c r="C173" t="s">
        <v>18</v>
      </c>
      <c r="D173">
        <v>2020</v>
      </c>
      <c r="E173" s="1">
        <v>44054</v>
      </c>
      <c r="F173" s="5">
        <f t="shared" si="2"/>
        <v>224</v>
      </c>
      <c r="G173" s="2">
        <v>0.88541666666666663</v>
      </c>
      <c r="H173" s="1">
        <v>44055</v>
      </c>
      <c r="I173" s="2">
        <v>0.4375</v>
      </c>
      <c r="J173">
        <v>1</v>
      </c>
      <c r="K173" t="s">
        <v>7</v>
      </c>
      <c r="L173">
        <v>64</v>
      </c>
      <c r="M173">
        <v>1</v>
      </c>
      <c r="N173">
        <v>0</v>
      </c>
      <c r="O173">
        <v>0</v>
      </c>
      <c r="P173">
        <v>0</v>
      </c>
      <c r="Q173" s="10" t="s">
        <v>59</v>
      </c>
      <c r="R173" t="s">
        <v>30</v>
      </c>
    </row>
    <row r="174" spans="1:18" x14ac:dyDescent="0.25">
      <c r="A174">
        <v>7</v>
      </c>
      <c r="B174" t="s">
        <v>36</v>
      </c>
      <c r="C174" t="s">
        <v>18</v>
      </c>
      <c r="D174">
        <v>2025</v>
      </c>
      <c r="E174" s="1">
        <v>45885</v>
      </c>
      <c r="F174" s="5">
        <f t="shared" si="2"/>
        <v>228</v>
      </c>
      <c r="G174" s="2">
        <v>0.82430555555555551</v>
      </c>
      <c r="H174" s="1">
        <v>45886</v>
      </c>
      <c r="I174" s="2">
        <v>0.41666666666666669</v>
      </c>
      <c r="J174">
        <v>1</v>
      </c>
      <c r="K174" t="s">
        <v>7</v>
      </c>
      <c r="L174">
        <v>61</v>
      </c>
      <c r="M174">
        <v>0</v>
      </c>
      <c r="N174">
        <v>0</v>
      </c>
      <c r="O174">
        <v>0</v>
      </c>
      <c r="P174">
        <v>0</v>
      </c>
      <c r="Q174" s="10" t="s">
        <v>59</v>
      </c>
    </row>
    <row r="175" spans="1:18" x14ac:dyDescent="0.25">
      <c r="A175">
        <v>7</v>
      </c>
      <c r="B175" t="s">
        <v>36</v>
      </c>
      <c r="C175" t="s">
        <v>18</v>
      </c>
      <c r="D175">
        <v>2025</v>
      </c>
      <c r="E175" s="1">
        <v>45885</v>
      </c>
      <c r="F175" s="5">
        <f t="shared" si="2"/>
        <v>228</v>
      </c>
      <c r="G175" s="2">
        <v>0.82430555555555551</v>
      </c>
      <c r="H175" s="1">
        <v>45886</v>
      </c>
      <c r="I175" s="2">
        <v>0.41666666666666669</v>
      </c>
      <c r="J175">
        <v>6</v>
      </c>
      <c r="K175" t="s">
        <v>7</v>
      </c>
      <c r="L175">
        <v>4</v>
      </c>
      <c r="M175">
        <v>0</v>
      </c>
      <c r="N175">
        <v>0</v>
      </c>
      <c r="O175">
        <v>0</v>
      </c>
      <c r="P175">
        <v>0</v>
      </c>
      <c r="Q175" s="10" t="s">
        <v>59</v>
      </c>
    </row>
    <row r="176" spans="1:18" x14ac:dyDescent="0.25">
      <c r="A176">
        <v>7</v>
      </c>
      <c r="B176" t="s">
        <v>36</v>
      </c>
      <c r="C176" t="s">
        <v>18</v>
      </c>
      <c r="D176">
        <v>2025</v>
      </c>
      <c r="E176" s="1">
        <v>45885</v>
      </c>
      <c r="F176" s="5">
        <f t="shared" si="2"/>
        <v>228</v>
      </c>
      <c r="G176" s="2">
        <v>0.82430555555555551</v>
      </c>
      <c r="H176" s="1">
        <v>45886</v>
      </c>
      <c r="I176" s="2">
        <v>0.41666666666666669</v>
      </c>
      <c r="J176">
        <v>9</v>
      </c>
      <c r="K176" t="s">
        <v>7</v>
      </c>
      <c r="L176">
        <v>6</v>
      </c>
      <c r="M176">
        <v>0</v>
      </c>
      <c r="N176">
        <v>0</v>
      </c>
      <c r="O176">
        <v>0</v>
      </c>
      <c r="P176">
        <v>0</v>
      </c>
      <c r="Q176" s="10" t="s">
        <v>59</v>
      </c>
    </row>
    <row r="177" spans="1:17" x14ac:dyDescent="0.25">
      <c r="A177">
        <v>7</v>
      </c>
      <c r="B177" t="s">
        <v>36</v>
      </c>
      <c r="C177" t="s">
        <v>18</v>
      </c>
      <c r="D177">
        <v>2025</v>
      </c>
      <c r="E177" s="1">
        <v>45885</v>
      </c>
      <c r="F177" s="5">
        <f t="shared" si="2"/>
        <v>228</v>
      </c>
      <c r="G177" s="2">
        <v>0.82430555555555551</v>
      </c>
      <c r="H177" s="1">
        <v>45886</v>
      </c>
      <c r="I177" s="2">
        <v>0.41666666666666669</v>
      </c>
      <c r="J177">
        <v>15</v>
      </c>
      <c r="K177" t="s">
        <v>7</v>
      </c>
      <c r="L177">
        <v>10</v>
      </c>
      <c r="M177">
        <v>3</v>
      </c>
      <c r="N177">
        <v>0</v>
      </c>
      <c r="O177">
        <v>0</v>
      </c>
      <c r="P177">
        <v>0</v>
      </c>
      <c r="Q177" s="10" t="s">
        <v>59</v>
      </c>
    </row>
    <row r="178" spans="1:17" x14ac:dyDescent="0.25">
      <c r="A178">
        <v>7</v>
      </c>
      <c r="B178" t="s">
        <v>36</v>
      </c>
      <c r="C178" t="s">
        <v>18</v>
      </c>
      <c r="D178">
        <v>2025</v>
      </c>
      <c r="E178" s="1">
        <v>45885</v>
      </c>
      <c r="F178" s="5">
        <f t="shared" si="2"/>
        <v>228</v>
      </c>
      <c r="G178" s="2">
        <v>0.82430555555555551</v>
      </c>
      <c r="H178" s="1">
        <v>45886</v>
      </c>
      <c r="I178" s="2">
        <v>0.41666666666666669</v>
      </c>
      <c r="J178">
        <v>17</v>
      </c>
      <c r="K178" t="s">
        <v>7</v>
      </c>
      <c r="L178">
        <v>10</v>
      </c>
      <c r="M178">
        <v>2</v>
      </c>
      <c r="N178">
        <v>0</v>
      </c>
      <c r="O178">
        <v>0</v>
      </c>
      <c r="P178">
        <v>0</v>
      </c>
      <c r="Q178" s="10" t="s">
        <v>59</v>
      </c>
    </row>
    <row r="179" spans="1:17" x14ac:dyDescent="0.25">
      <c r="A179">
        <v>8</v>
      </c>
      <c r="B179" t="s">
        <v>18</v>
      </c>
      <c r="C179" t="s">
        <v>18</v>
      </c>
      <c r="D179">
        <v>2025</v>
      </c>
      <c r="E179" s="1">
        <v>45887</v>
      </c>
      <c r="F179" s="5">
        <f t="shared" si="2"/>
        <v>230</v>
      </c>
      <c r="G179" s="2">
        <v>0.85416666666666663</v>
      </c>
      <c r="H179" s="1">
        <v>45888</v>
      </c>
      <c r="I179" s="2">
        <v>0.40625</v>
      </c>
      <c r="J179">
        <v>2</v>
      </c>
      <c r="K179" t="s">
        <v>7</v>
      </c>
      <c r="L179">
        <v>0</v>
      </c>
      <c r="M179">
        <v>0</v>
      </c>
      <c r="N179">
        <v>0</v>
      </c>
      <c r="O179">
        <v>0</v>
      </c>
      <c r="P179">
        <v>0</v>
      </c>
      <c r="Q179" s="10" t="s">
        <v>59</v>
      </c>
    </row>
    <row r="180" spans="1:17" x14ac:dyDescent="0.25">
      <c r="A180">
        <v>8</v>
      </c>
      <c r="B180" t="s">
        <v>18</v>
      </c>
      <c r="C180" t="s">
        <v>18</v>
      </c>
      <c r="D180">
        <v>2025</v>
      </c>
      <c r="E180" s="1">
        <v>45887</v>
      </c>
      <c r="F180" s="5">
        <f t="shared" si="2"/>
        <v>230</v>
      </c>
      <c r="G180" s="2">
        <v>0.85416666666666663</v>
      </c>
      <c r="H180" s="1">
        <v>45888</v>
      </c>
      <c r="I180" s="2">
        <v>0.40625</v>
      </c>
      <c r="J180">
        <v>4</v>
      </c>
      <c r="K180" t="s">
        <v>7</v>
      </c>
      <c r="L180">
        <v>0</v>
      </c>
      <c r="M180">
        <v>0</v>
      </c>
      <c r="N180">
        <v>0</v>
      </c>
      <c r="O180">
        <v>0</v>
      </c>
      <c r="P180">
        <v>0</v>
      </c>
      <c r="Q180" s="10" t="s">
        <v>59</v>
      </c>
    </row>
    <row r="181" spans="1:17" x14ac:dyDescent="0.25">
      <c r="A181">
        <v>8</v>
      </c>
      <c r="B181" t="s">
        <v>18</v>
      </c>
      <c r="C181" t="s">
        <v>18</v>
      </c>
      <c r="D181">
        <v>2025</v>
      </c>
      <c r="E181" s="1">
        <v>45887</v>
      </c>
      <c r="F181" s="5">
        <f t="shared" si="2"/>
        <v>230</v>
      </c>
      <c r="G181" s="2">
        <v>0.85416666666666663</v>
      </c>
      <c r="H181" s="1">
        <v>45888</v>
      </c>
      <c r="I181" s="2">
        <v>0.40625</v>
      </c>
      <c r="J181">
        <v>11</v>
      </c>
      <c r="K181" t="s">
        <v>7</v>
      </c>
      <c r="L181">
        <v>2</v>
      </c>
      <c r="M181">
        <v>3</v>
      </c>
      <c r="N181">
        <v>0</v>
      </c>
      <c r="O181">
        <v>0</v>
      </c>
      <c r="P181">
        <v>0</v>
      </c>
      <c r="Q181" s="10" t="s">
        <v>59</v>
      </c>
    </row>
    <row r="182" spans="1:17" x14ac:dyDescent="0.25">
      <c r="A182">
        <v>8</v>
      </c>
      <c r="B182" t="s">
        <v>18</v>
      </c>
      <c r="C182" t="s">
        <v>18</v>
      </c>
      <c r="D182">
        <v>2025</v>
      </c>
      <c r="E182" s="1">
        <v>45887</v>
      </c>
      <c r="F182" s="5">
        <f t="shared" si="2"/>
        <v>230</v>
      </c>
      <c r="G182" s="2">
        <v>0.85416666666666663</v>
      </c>
      <c r="H182" s="1">
        <v>45888</v>
      </c>
      <c r="I182" s="2">
        <v>0.40625</v>
      </c>
      <c r="J182">
        <v>17</v>
      </c>
      <c r="K182" t="s">
        <v>7</v>
      </c>
      <c r="L182">
        <v>6</v>
      </c>
      <c r="M182">
        <v>0</v>
      </c>
      <c r="N182">
        <v>0</v>
      </c>
      <c r="O182">
        <v>0</v>
      </c>
      <c r="P182">
        <v>0</v>
      </c>
      <c r="Q182" s="10" t="s">
        <v>59</v>
      </c>
    </row>
    <row r="183" spans="1:17" x14ac:dyDescent="0.25">
      <c r="A183">
        <v>8</v>
      </c>
      <c r="B183" t="s">
        <v>18</v>
      </c>
      <c r="C183" t="s">
        <v>18</v>
      </c>
      <c r="D183">
        <v>2025</v>
      </c>
      <c r="E183" s="1">
        <v>45887</v>
      </c>
      <c r="F183" s="5">
        <f t="shared" si="2"/>
        <v>230</v>
      </c>
      <c r="G183" s="2">
        <v>0.85416666666666663</v>
      </c>
      <c r="H183" s="1">
        <v>45888</v>
      </c>
      <c r="I183" s="2">
        <v>0.40625</v>
      </c>
      <c r="J183">
        <v>18</v>
      </c>
      <c r="K183" t="s">
        <v>7</v>
      </c>
      <c r="L183">
        <v>2</v>
      </c>
      <c r="M183">
        <v>0</v>
      </c>
      <c r="N183">
        <v>0</v>
      </c>
      <c r="O183">
        <v>0</v>
      </c>
      <c r="P183">
        <v>0</v>
      </c>
      <c r="Q183" s="10" t="s">
        <v>59</v>
      </c>
    </row>
    <row r="184" spans="1:17" x14ac:dyDescent="0.25">
      <c r="A184">
        <v>9</v>
      </c>
      <c r="B184" t="s">
        <v>18</v>
      </c>
      <c r="C184" t="s">
        <v>18</v>
      </c>
      <c r="D184">
        <v>2025</v>
      </c>
      <c r="E184" s="1">
        <v>45888</v>
      </c>
      <c r="F184" s="5">
        <f t="shared" si="2"/>
        <v>231</v>
      </c>
      <c r="G184" s="2">
        <v>0.82291666666666663</v>
      </c>
      <c r="H184" s="1">
        <v>45889</v>
      </c>
      <c r="I184" s="2">
        <v>0.41666666666666669</v>
      </c>
      <c r="J184">
        <v>2</v>
      </c>
      <c r="K184" t="s">
        <v>7</v>
      </c>
      <c r="L184">
        <v>28</v>
      </c>
      <c r="M184">
        <v>0</v>
      </c>
      <c r="N184">
        <v>0</v>
      </c>
      <c r="O184">
        <v>0</v>
      </c>
      <c r="P184">
        <v>0</v>
      </c>
      <c r="Q184" s="10" t="s">
        <v>59</v>
      </c>
    </row>
    <row r="185" spans="1:17" x14ac:dyDescent="0.25">
      <c r="A185">
        <v>9</v>
      </c>
      <c r="B185" t="s">
        <v>18</v>
      </c>
      <c r="C185" t="s">
        <v>18</v>
      </c>
      <c r="D185">
        <v>2025</v>
      </c>
      <c r="E185" s="1">
        <v>45888</v>
      </c>
      <c r="F185" s="5">
        <f t="shared" si="2"/>
        <v>231</v>
      </c>
      <c r="G185" s="2">
        <v>0.82291666666666663</v>
      </c>
      <c r="H185" s="1">
        <v>45889</v>
      </c>
      <c r="I185" s="2">
        <v>0.41666666666666669</v>
      </c>
      <c r="J185">
        <v>5</v>
      </c>
      <c r="K185" t="s">
        <v>7</v>
      </c>
      <c r="L185">
        <v>30</v>
      </c>
      <c r="M185">
        <v>4</v>
      </c>
      <c r="N185">
        <v>0</v>
      </c>
      <c r="O185">
        <v>0</v>
      </c>
      <c r="P185">
        <v>0</v>
      </c>
      <c r="Q185" s="10" t="s">
        <v>59</v>
      </c>
    </row>
    <row r="186" spans="1:17" x14ac:dyDescent="0.25">
      <c r="A186">
        <v>9</v>
      </c>
      <c r="B186" t="s">
        <v>18</v>
      </c>
      <c r="C186" t="s">
        <v>18</v>
      </c>
      <c r="D186">
        <v>2025</v>
      </c>
      <c r="E186" s="1">
        <v>45888</v>
      </c>
      <c r="F186" s="5">
        <f t="shared" si="2"/>
        <v>231</v>
      </c>
      <c r="G186" s="2">
        <v>0.82291666666666663</v>
      </c>
      <c r="H186" s="1">
        <v>45889</v>
      </c>
      <c r="I186" s="2">
        <v>0.41666666666666669</v>
      </c>
      <c r="J186">
        <v>6</v>
      </c>
      <c r="K186" t="s">
        <v>7</v>
      </c>
      <c r="L186">
        <v>48</v>
      </c>
      <c r="M186">
        <v>0</v>
      </c>
      <c r="N186">
        <v>0</v>
      </c>
      <c r="O186">
        <v>0</v>
      </c>
      <c r="P186">
        <v>0</v>
      </c>
      <c r="Q186" s="10" t="s">
        <v>59</v>
      </c>
    </row>
    <row r="187" spans="1:17" x14ac:dyDescent="0.25">
      <c r="A187">
        <v>9</v>
      </c>
      <c r="B187" t="s">
        <v>18</v>
      </c>
      <c r="C187" t="s">
        <v>18</v>
      </c>
      <c r="D187">
        <v>2025</v>
      </c>
      <c r="E187" s="1">
        <v>45888</v>
      </c>
      <c r="F187" s="5">
        <f t="shared" si="2"/>
        <v>231</v>
      </c>
      <c r="G187" s="2">
        <v>0.82291666666666663</v>
      </c>
      <c r="H187" s="1">
        <v>45889</v>
      </c>
      <c r="I187" s="2">
        <v>0.41666666666666669</v>
      </c>
      <c r="J187">
        <v>8</v>
      </c>
      <c r="K187" t="s">
        <v>7</v>
      </c>
      <c r="L187">
        <v>10</v>
      </c>
      <c r="M187">
        <v>0</v>
      </c>
      <c r="N187">
        <v>0</v>
      </c>
      <c r="O187">
        <v>0</v>
      </c>
      <c r="P187">
        <v>0</v>
      </c>
      <c r="Q187" s="10" t="s">
        <v>59</v>
      </c>
    </row>
    <row r="188" spans="1:17" x14ac:dyDescent="0.25">
      <c r="A188">
        <v>9</v>
      </c>
      <c r="B188" t="s">
        <v>18</v>
      </c>
      <c r="C188" t="s">
        <v>18</v>
      </c>
      <c r="D188">
        <v>2025</v>
      </c>
      <c r="E188" s="1">
        <v>45888</v>
      </c>
      <c r="F188" s="5">
        <f t="shared" si="2"/>
        <v>231</v>
      </c>
      <c r="G188" s="2">
        <v>0.82291666666666663</v>
      </c>
      <c r="H188" s="1">
        <v>45889</v>
      </c>
      <c r="I188" s="2">
        <v>0.41666666666666669</v>
      </c>
      <c r="J188">
        <v>11</v>
      </c>
      <c r="K188" t="s">
        <v>7</v>
      </c>
      <c r="L188">
        <v>5</v>
      </c>
      <c r="M188">
        <v>0</v>
      </c>
      <c r="N188">
        <v>0</v>
      </c>
      <c r="O188">
        <v>0</v>
      </c>
      <c r="P188">
        <v>0</v>
      </c>
      <c r="Q188" s="10" t="s">
        <v>59</v>
      </c>
    </row>
    <row r="189" spans="1:17" x14ac:dyDescent="0.25">
      <c r="A189">
        <v>10</v>
      </c>
      <c r="B189" t="s">
        <v>18</v>
      </c>
      <c r="C189" t="s">
        <v>18</v>
      </c>
      <c r="D189">
        <v>2025</v>
      </c>
      <c r="E189" s="1">
        <v>45889</v>
      </c>
      <c r="F189" s="5">
        <f t="shared" si="2"/>
        <v>232</v>
      </c>
      <c r="G189" s="2">
        <v>0.88541666666666663</v>
      </c>
      <c r="H189" s="1">
        <v>45890</v>
      </c>
      <c r="I189" s="2">
        <v>0.40625</v>
      </c>
      <c r="J189">
        <v>3</v>
      </c>
      <c r="K189" t="s">
        <v>7</v>
      </c>
      <c r="L189">
        <v>6</v>
      </c>
      <c r="M189">
        <v>1</v>
      </c>
      <c r="N189">
        <v>0</v>
      </c>
      <c r="O189">
        <v>0</v>
      </c>
      <c r="P189">
        <v>0</v>
      </c>
      <c r="Q189" s="10" t="s">
        <v>59</v>
      </c>
    </row>
    <row r="190" spans="1:17" x14ac:dyDescent="0.25">
      <c r="A190">
        <v>10</v>
      </c>
      <c r="B190" t="s">
        <v>18</v>
      </c>
      <c r="C190" t="s">
        <v>18</v>
      </c>
      <c r="D190">
        <v>2025</v>
      </c>
      <c r="E190" s="1">
        <v>45889</v>
      </c>
      <c r="F190" s="5">
        <f t="shared" si="2"/>
        <v>232</v>
      </c>
      <c r="G190" s="2">
        <v>0.88541666666666663</v>
      </c>
      <c r="H190" s="1">
        <v>45890</v>
      </c>
      <c r="I190" s="2">
        <v>0.40625</v>
      </c>
      <c r="J190">
        <v>8</v>
      </c>
      <c r="K190" t="s">
        <v>7</v>
      </c>
      <c r="L190">
        <v>2</v>
      </c>
      <c r="M190">
        <v>2</v>
      </c>
      <c r="N190">
        <v>0</v>
      </c>
      <c r="O190">
        <v>0</v>
      </c>
      <c r="P190">
        <v>0</v>
      </c>
      <c r="Q190" s="10" t="s">
        <v>59</v>
      </c>
    </row>
    <row r="191" spans="1:17" x14ac:dyDescent="0.25">
      <c r="A191">
        <v>10</v>
      </c>
      <c r="B191" t="s">
        <v>18</v>
      </c>
      <c r="C191" t="s">
        <v>18</v>
      </c>
      <c r="D191">
        <v>2025</v>
      </c>
      <c r="E191" s="1">
        <v>45889</v>
      </c>
      <c r="F191" s="5">
        <f t="shared" si="2"/>
        <v>232</v>
      </c>
      <c r="G191" s="2">
        <v>0.88541666666666663</v>
      </c>
      <c r="H191" s="1">
        <v>45890</v>
      </c>
      <c r="I191" s="2">
        <v>0.40625</v>
      </c>
      <c r="J191">
        <v>21</v>
      </c>
      <c r="K191" t="s">
        <v>7</v>
      </c>
      <c r="L191">
        <v>9</v>
      </c>
      <c r="M191">
        <v>2</v>
      </c>
      <c r="N191">
        <v>0</v>
      </c>
      <c r="O191">
        <v>0</v>
      </c>
      <c r="P191">
        <v>0</v>
      </c>
      <c r="Q191" s="10" t="s">
        <v>59</v>
      </c>
    </row>
    <row r="192" spans="1:17" x14ac:dyDescent="0.25">
      <c r="A192">
        <v>1</v>
      </c>
      <c r="B192" t="s">
        <v>18</v>
      </c>
      <c r="C192" t="s">
        <v>18</v>
      </c>
      <c r="D192">
        <v>2020</v>
      </c>
      <c r="E192" s="1">
        <v>44047</v>
      </c>
      <c r="F192" s="5">
        <f t="shared" si="2"/>
        <v>217</v>
      </c>
      <c r="G192" s="2">
        <v>0.89027777777777783</v>
      </c>
      <c r="H192" s="1">
        <v>44048</v>
      </c>
      <c r="I192" s="2">
        <v>0.47916666666666669</v>
      </c>
      <c r="J192">
        <v>3</v>
      </c>
      <c r="K192" t="s">
        <v>8</v>
      </c>
      <c r="L192">
        <v>6</v>
      </c>
      <c r="M192">
        <v>9</v>
      </c>
      <c r="N192">
        <v>0</v>
      </c>
      <c r="O192">
        <v>0</v>
      </c>
      <c r="P192">
        <v>0</v>
      </c>
      <c r="Q192" s="10" t="s">
        <v>59</v>
      </c>
    </row>
    <row r="193" spans="1:18" x14ac:dyDescent="0.25">
      <c r="A193">
        <v>1</v>
      </c>
      <c r="B193" t="s">
        <v>18</v>
      </c>
      <c r="C193" t="s">
        <v>18</v>
      </c>
      <c r="D193">
        <v>2020</v>
      </c>
      <c r="E193" s="1">
        <v>44047</v>
      </c>
      <c r="F193" s="5">
        <f t="shared" si="2"/>
        <v>217</v>
      </c>
      <c r="G193" s="2">
        <v>0.89027777777777783</v>
      </c>
      <c r="H193" s="1">
        <v>44048</v>
      </c>
      <c r="I193" s="2">
        <v>0.47916666666666669</v>
      </c>
      <c r="J193">
        <v>5</v>
      </c>
      <c r="K193" t="s">
        <v>8</v>
      </c>
      <c r="L193">
        <v>2</v>
      </c>
      <c r="M193">
        <v>1</v>
      </c>
      <c r="N193">
        <v>0</v>
      </c>
      <c r="O193">
        <v>0</v>
      </c>
      <c r="P193">
        <v>0</v>
      </c>
      <c r="Q193" s="10" t="s">
        <v>59</v>
      </c>
      <c r="R193" t="s">
        <v>58</v>
      </c>
    </row>
    <row r="194" spans="1:18" x14ac:dyDescent="0.25">
      <c r="A194">
        <v>1</v>
      </c>
      <c r="B194" t="s">
        <v>18</v>
      </c>
      <c r="C194" t="s">
        <v>18</v>
      </c>
      <c r="D194">
        <v>2020</v>
      </c>
      <c r="E194" s="1">
        <v>44047</v>
      </c>
      <c r="F194" s="5">
        <f t="shared" ref="F194:F257" si="3">E194-DATE(YEAR(E194),1,0)</f>
        <v>217</v>
      </c>
      <c r="G194" s="2">
        <v>0.89027777777777783</v>
      </c>
      <c r="H194" s="1">
        <v>44048</v>
      </c>
      <c r="I194" s="2">
        <v>0.47916666666666669</v>
      </c>
      <c r="J194">
        <v>9</v>
      </c>
      <c r="K194" t="s">
        <v>8</v>
      </c>
      <c r="L194">
        <v>3</v>
      </c>
      <c r="M194">
        <v>8</v>
      </c>
      <c r="N194">
        <v>0</v>
      </c>
      <c r="O194">
        <v>0</v>
      </c>
      <c r="P194">
        <v>0</v>
      </c>
      <c r="Q194" s="10" t="s">
        <v>59</v>
      </c>
    </row>
    <row r="195" spans="1:18" x14ac:dyDescent="0.25">
      <c r="A195">
        <v>1</v>
      </c>
      <c r="B195" t="s">
        <v>18</v>
      </c>
      <c r="C195" t="s">
        <v>18</v>
      </c>
      <c r="D195">
        <v>2020</v>
      </c>
      <c r="E195" s="1">
        <v>44047</v>
      </c>
      <c r="F195" s="5">
        <f t="shared" si="3"/>
        <v>217</v>
      </c>
      <c r="G195" s="2">
        <v>0.89027777777777783</v>
      </c>
      <c r="H195" s="1">
        <v>44048</v>
      </c>
      <c r="I195" s="2">
        <v>0.47916666666666669</v>
      </c>
      <c r="J195">
        <v>13</v>
      </c>
      <c r="K195" t="s">
        <v>8</v>
      </c>
      <c r="L195">
        <v>0</v>
      </c>
      <c r="M195">
        <v>2</v>
      </c>
      <c r="N195">
        <v>0</v>
      </c>
      <c r="O195">
        <v>0</v>
      </c>
      <c r="P195">
        <v>0</v>
      </c>
      <c r="Q195" s="10" t="s">
        <v>59</v>
      </c>
    </row>
    <row r="196" spans="1:18" x14ac:dyDescent="0.25">
      <c r="A196">
        <v>1</v>
      </c>
      <c r="B196" t="s">
        <v>18</v>
      </c>
      <c r="C196" t="s">
        <v>18</v>
      </c>
      <c r="D196">
        <v>2020</v>
      </c>
      <c r="E196" s="1">
        <v>44047</v>
      </c>
      <c r="F196" s="5">
        <f t="shared" si="3"/>
        <v>217</v>
      </c>
      <c r="G196" s="2">
        <v>0.89027777777777783</v>
      </c>
      <c r="H196" s="1">
        <v>44048</v>
      </c>
      <c r="I196" s="2">
        <v>0.47916666666666669</v>
      </c>
      <c r="J196">
        <v>14</v>
      </c>
      <c r="K196" t="s">
        <v>8</v>
      </c>
      <c r="L196">
        <v>9</v>
      </c>
      <c r="M196">
        <v>2</v>
      </c>
      <c r="N196">
        <v>0</v>
      </c>
      <c r="O196">
        <v>0</v>
      </c>
      <c r="P196">
        <v>0</v>
      </c>
      <c r="Q196" s="10" t="s">
        <v>59</v>
      </c>
    </row>
    <row r="197" spans="1:18" x14ac:dyDescent="0.25">
      <c r="A197">
        <v>2</v>
      </c>
      <c r="B197" t="s">
        <v>18</v>
      </c>
      <c r="C197" t="s">
        <v>19</v>
      </c>
      <c r="D197">
        <v>2020</v>
      </c>
      <c r="E197" s="1">
        <v>44048</v>
      </c>
      <c r="F197" s="5">
        <f t="shared" si="3"/>
        <v>218</v>
      </c>
      <c r="G197" s="2">
        <v>0.82430555555555562</v>
      </c>
      <c r="H197" s="1">
        <v>44049</v>
      </c>
      <c r="I197" s="2">
        <v>0.49861111111111112</v>
      </c>
      <c r="J197">
        <v>10</v>
      </c>
      <c r="K197" t="s">
        <v>8</v>
      </c>
      <c r="L197">
        <v>3</v>
      </c>
      <c r="M197">
        <v>2</v>
      </c>
      <c r="N197">
        <v>0</v>
      </c>
      <c r="O197">
        <v>0</v>
      </c>
      <c r="P197">
        <v>0</v>
      </c>
      <c r="Q197" s="10" t="s">
        <v>59</v>
      </c>
    </row>
    <row r="198" spans="1:18" x14ac:dyDescent="0.25">
      <c r="A198">
        <v>2</v>
      </c>
      <c r="B198" t="s">
        <v>18</v>
      </c>
      <c r="C198" t="s">
        <v>19</v>
      </c>
      <c r="D198">
        <v>2020</v>
      </c>
      <c r="E198" s="1">
        <v>44048</v>
      </c>
      <c r="F198" s="5">
        <f t="shared" si="3"/>
        <v>218</v>
      </c>
      <c r="G198" s="2">
        <v>0.82430555555555562</v>
      </c>
      <c r="H198" s="1">
        <v>44049</v>
      </c>
      <c r="I198" s="2">
        <v>0.49861111111111112</v>
      </c>
      <c r="J198">
        <v>9</v>
      </c>
      <c r="K198" t="s">
        <v>8</v>
      </c>
      <c r="L198">
        <v>0</v>
      </c>
      <c r="M198">
        <v>0</v>
      </c>
      <c r="N198">
        <v>0</v>
      </c>
      <c r="O198">
        <v>0</v>
      </c>
      <c r="P198">
        <v>0</v>
      </c>
      <c r="Q198" s="10" t="s">
        <v>59</v>
      </c>
    </row>
    <row r="199" spans="1:18" x14ac:dyDescent="0.25">
      <c r="A199">
        <v>2</v>
      </c>
      <c r="B199" t="s">
        <v>18</v>
      </c>
      <c r="C199" t="s">
        <v>19</v>
      </c>
      <c r="D199">
        <v>2020</v>
      </c>
      <c r="E199" s="1">
        <v>44048</v>
      </c>
      <c r="F199" s="5">
        <f t="shared" si="3"/>
        <v>218</v>
      </c>
      <c r="G199" s="2">
        <v>0.82430555555555562</v>
      </c>
      <c r="H199" s="1">
        <v>44049</v>
      </c>
      <c r="I199" s="2">
        <v>0.49861111111111112</v>
      </c>
      <c r="J199">
        <v>8</v>
      </c>
      <c r="K199" t="s">
        <v>8</v>
      </c>
      <c r="L199">
        <v>0</v>
      </c>
      <c r="M199">
        <v>0</v>
      </c>
      <c r="N199">
        <v>0</v>
      </c>
      <c r="O199">
        <v>0</v>
      </c>
      <c r="P199">
        <v>0</v>
      </c>
      <c r="Q199" s="10" t="s">
        <v>59</v>
      </c>
    </row>
    <row r="200" spans="1:18" x14ac:dyDescent="0.25">
      <c r="A200">
        <v>2</v>
      </c>
      <c r="B200" t="s">
        <v>18</v>
      </c>
      <c r="C200" t="s">
        <v>19</v>
      </c>
      <c r="D200">
        <v>2020</v>
      </c>
      <c r="E200" s="1">
        <v>44048</v>
      </c>
      <c r="F200" s="5">
        <f t="shared" si="3"/>
        <v>218</v>
      </c>
      <c r="G200" s="2">
        <v>0.82430555555555562</v>
      </c>
      <c r="H200" s="1">
        <v>44049</v>
      </c>
      <c r="I200" s="2">
        <v>0.49861111111111112</v>
      </c>
      <c r="J200">
        <v>5</v>
      </c>
      <c r="K200" t="s">
        <v>8</v>
      </c>
      <c r="L200">
        <v>4</v>
      </c>
      <c r="M200">
        <v>0</v>
      </c>
      <c r="N200">
        <v>0</v>
      </c>
      <c r="O200">
        <v>0</v>
      </c>
      <c r="P200">
        <v>0</v>
      </c>
      <c r="Q200" s="10" t="s">
        <v>59</v>
      </c>
    </row>
    <row r="201" spans="1:18" x14ac:dyDescent="0.25">
      <c r="A201">
        <v>2</v>
      </c>
      <c r="B201" t="s">
        <v>18</v>
      </c>
      <c r="C201" t="s">
        <v>19</v>
      </c>
      <c r="D201">
        <v>2020</v>
      </c>
      <c r="E201" s="1">
        <v>44048</v>
      </c>
      <c r="F201" s="5">
        <f t="shared" si="3"/>
        <v>218</v>
      </c>
      <c r="G201" s="2">
        <v>0.82430555555555562</v>
      </c>
      <c r="H201" s="1">
        <v>44049</v>
      </c>
      <c r="I201" s="2">
        <v>0.49861111111111112</v>
      </c>
      <c r="J201">
        <v>4</v>
      </c>
      <c r="K201" t="s">
        <v>8</v>
      </c>
      <c r="L201">
        <v>0</v>
      </c>
      <c r="M201">
        <v>0</v>
      </c>
      <c r="N201">
        <v>0</v>
      </c>
      <c r="O201">
        <v>0</v>
      </c>
      <c r="P201">
        <v>0</v>
      </c>
      <c r="Q201" s="10" t="s">
        <v>59</v>
      </c>
    </row>
    <row r="202" spans="1:18" x14ac:dyDescent="0.25">
      <c r="A202">
        <v>3</v>
      </c>
      <c r="B202" t="s">
        <v>20</v>
      </c>
      <c r="C202" t="s">
        <v>18</v>
      </c>
      <c r="D202">
        <v>2020</v>
      </c>
      <c r="E202" s="1">
        <v>44049</v>
      </c>
      <c r="F202" s="5">
        <f t="shared" si="3"/>
        <v>219</v>
      </c>
      <c r="G202" s="2">
        <v>0.78611111111111109</v>
      </c>
      <c r="H202" s="1">
        <v>44050</v>
      </c>
      <c r="I202" s="2">
        <v>0.47569444444444442</v>
      </c>
      <c r="J202">
        <v>17</v>
      </c>
      <c r="K202" t="s">
        <v>8</v>
      </c>
      <c r="L202">
        <v>6</v>
      </c>
      <c r="M202">
        <v>0</v>
      </c>
      <c r="N202">
        <v>0</v>
      </c>
      <c r="O202">
        <v>0</v>
      </c>
      <c r="P202">
        <v>0</v>
      </c>
      <c r="Q202" s="10" t="s">
        <v>59</v>
      </c>
    </row>
    <row r="203" spans="1:18" x14ac:dyDescent="0.25">
      <c r="A203">
        <v>3</v>
      </c>
      <c r="B203" t="s">
        <v>20</v>
      </c>
      <c r="C203" t="s">
        <v>18</v>
      </c>
      <c r="D203">
        <v>2020</v>
      </c>
      <c r="E203" s="1">
        <v>44049</v>
      </c>
      <c r="F203" s="5">
        <f t="shared" si="3"/>
        <v>219</v>
      </c>
      <c r="G203" s="2">
        <v>0.78611111111111109</v>
      </c>
      <c r="H203" s="1">
        <v>44050</v>
      </c>
      <c r="I203" s="2">
        <v>0.47569444444444442</v>
      </c>
      <c r="J203">
        <v>16</v>
      </c>
      <c r="K203" t="s">
        <v>8</v>
      </c>
      <c r="L203">
        <v>6</v>
      </c>
      <c r="M203">
        <v>1</v>
      </c>
      <c r="N203">
        <v>0</v>
      </c>
      <c r="O203">
        <v>0</v>
      </c>
      <c r="P203">
        <v>0</v>
      </c>
      <c r="Q203" s="10" t="s">
        <v>59</v>
      </c>
    </row>
    <row r="204" spans="1:18" x14ac:dyDescent="0.25">
      <c r="A204">
        <v>3</v>
      </c>
      <c r="B204" t="s">
        <v>20</v>
      </c>
      <c r="C204" t="s">
        <v>18</v>
      </c>
      <c r="D204">
        <v>2020</v>
      </c>
      <c r="E204" s="1">
        <v>44049</v>
      </c>
      <c r="F204" s="5">
        <f t="shared" si="3"/>
        <v>219</v>
      </c>
      <c r="G204" s="2">
        <v>0.78611111111111109</v>
      </c>
      <c r="H204" s="1">
        <v>44050</v>
      </c>
      <c r="I204" s="2">
        <v>0.47569444444444442</v>
      </c>
      <c r="J204">
        <v>13</v>
      </c>
      <c r="K204" t="s">
        <v>8</v>
      </c>
      <c r="L204">
        <v>5</v>
      </c>
      <c r="M204">
        <v>2</v>
      </c>
      <c r="N204">
        <v>0</v>
      </c>
      <c r="O204">
        <v>0</v>
      </c>
      <c r="P204">
        <v>0</v>
      </c>
      <c r="Q204" s="10" t="s">
        <v>59</v>
      </c>
    </row>
    <row r="205" spans="1:18" x14ac:dyDescent="0.25">
      <c r="A205">
        <v>3</v>
      </c>
      <c r="B205" t="s">
        <v>20</v>
      </c>
      <c r="C205" t="s">
        <v>18</v>
      </c>
      <c r="D205">
        <v>2020</v>
      </c>
      <c r="E205" s="1">
        <v>44049</v>
      </c>
      <c r="F205" s="5">
        <f t="shared" si="3"/>
        <v>219</v>
      </c>
      <c r="G205" s="2">
        <v>0.78611111111111109</v>
      </c>
      <c r="H205" s="1">
        <v>44050</v>
      </c>
      <c r="I205" s="2">
        <v>0.47569444444444442</v>
      </c>
      <c r="J205">
        <v>12</v>
      </c>
      <c r="K205" t="s">
        <v>8</v>
      </c>
      <c r="L205">
        <v>1</v>
      </c>
      <c r="M205">
        <v>4</v>
      </c>
      <c r="N205">
        <v>0</v>
      </c>
      <c r="O205">
        <v>0</v>
      </c>
      <c r="P205">
        <v>0</v>
      </c>
      <c r="Q205" s="10" t="s">
        <v>59</v>
      </c>
    </row>
    <row r="206" spans="1:18" x14ac:dyDescent="0.25">
      <c r="A206">
        <v>3</v>
      </c>
      <c r="B206" t="s">
        <v>20</v>
      </c>
      <c r="C206" t="s">
        <v>18</v>
      </c>
      <c r="D206">
        <v>2020</v>
      </c>
      <c r="E206" s="1">
        <v>44049</v>
      </c>
      <c r="F206" s="5">
        <f t="shared" si="3"/>
        <v>219</v>
      </c>
      <c r="G206" s="2">
        <v>0.78611111111111109</v>
      </c>
      <c r="H206" s="1">
        <v>44050</v>
      </c>
      <c r="I206" s="2">
        <v>0.47569444444444442</v>
      </c>
      <c r="J206">
        <v>2</v>
      </c>
      <c r="K206" t="s">
        <v>8</v>
      </c>
      <c r="L206">
        <v>7</v>
      </c>
      <c r="M206">
        <v>7</v>
      </c>
      <c r="N206">
        <v>0</v>
      </c>
      <c r="O206">
        <v>0</v>
      </c>
      <c r="P206">
        <v>0</v>
      </c>
      <c r="Q206" s="10" t="s">
        <v>59</v>
      </c>
    </row>
    <row r="207" spans="1:18" x14ac:dyDescent="0.25">
      <c r="A207">
        <v>4</v>
      </c>
      <c r="B207" t="s">
        <v>18</v>
      </c>
      <c r="C207" t="s">
        <v>18</v>
      </c>
      <c r="D207">
        <v>2020</v>
      </c>
      <c r="E207" s="1">
        <v>44050</v>
      </c>
      <c r="F207" s="5">
        <f t="shared" si="3"/>
        <v>220</v>
      </c>
      <c r="G207" s="2">
        <v>0.80486111111111114</v>
      </c>
      <c r="H207" s="1">
        <v>44051</v>
      </c>
      <c r="I207" s="2">
        <v>0.46319444444444446</v>
      </c>
      <c r="J207">
        <v>12</v>
      </c>
      <c r="K207" t="s">
        <v>8</v>
      </c>
      <c r="L207">
        <v>9</v>
      </c>
      <c r="M207">
        <v>2</v>
      </c>
      <c r="N207">
        <v>0</v>
      </c>
      <c r="O207">
        <v>0</v>
      </c>
      <c r="P207">
        <v>0</v>
      </c>
      <c r="Q207" s="10" t="s">
        <v>59</v>
      </c>
    </row>
    <row r="208" spans="1:18" x14ac:dyDescent="0.25">
      <c r="A208">
        <v>4</v>
      </c>
      <c r="B208" t="s">
        <v>18</v>
      </c>
      <c r="C208" t="s">
        <v>18</v>
      </c>
      <c r="D208">
        <v>2020</v>
      </c>
      <c r="E208" s="1">
        <v>44050</v>
      </c>
      <c r="F208" s="5">
        <f t="shared" si="3"/>
        <v>220</v>
      </c>
      <c r="G208" s="2">
        <v>0.80486111111111114</v>
      </c>
      <c r="H208" s="1">
        <v>44051</v>
      </c>
      <c r="I208" s="2">
        <v>0.46319444444444446</v>
      </c>
      <c r="J208">
        <v>11</v>
      </c>
      <c r="K208" t="s">
        <v>8</v>
      </c>
      <c r="L208">
        <v>36</v>
      </c>
      <c r="M208">
        <v>6</v>
      </c>
      <c r="N208">
        <v>0</v>
      </c>
      <c r="O208">
        <v>0</v>
      </c>
      <c r="P208">
        <v>0</v>
      </c>
      <c r="Q208" s="10" t="s">
        <v>59</v>
      </c>
    </row>
    <row r="209" spans="1:18" x14ac:dyDescent="0.25">
      <c r="A209">
        <v>4</v>
      </c>
      <c r="B209" t="s">
        <v>18</v>
      </c>
      <c r="C209" t="s">
        <v>18</v>
      </c>
      <c r="D209">
        <v>2020</v>
      </c>
      <c r="E209" s="1">
        <v>44050</v>
      </c>
      <c r="F209" s="5">
        <f t="shared" si="3"/>
        <v>220</v>
      </c>
      <c r="G209" s="2">
        <v>0.80486111111111114</v>
      </c>
      <c r="H209" s="1">
        <v>44051</v>
      </c>
      <c r="I209" s="2">
        <v>0.46319444444444446</v>
      </c>
      <c r="J209">
        <v>10</v>
      </c>
      <c r="K209" t="s">
        <v>8</v>
      </c>
      <c r="L209">
        <v>12</v>
      </c>
      <c r="M209">
        <v>6</v>
      </c>
      <c r="N209">
        <v>0</v>
      </c>
      <c r="O209">
        <v>0</v>
      </c>
      <c r="P209">
        <v>0</v>
      </c>
      <c r="Q209" s="10" t="s">
        <v>59</v>
      </c>
    </row>
    <row r="210" spans="1:18" x14ac:dyDescent="0.25">
      <c r="A210">
        <v>4</v>
      </c>
      <c r="B210" t="s">
        <v>18</v>
      </c>
      <c r="C210" t="s">
        <v>18</v>
      </c>
      <c r="D210">
        <v>2020</v>
      </c>
      <c r="E210" s="1">
        <v>44050</v>
      </c>
      <c r="F210" s="5">
        <f t="shared" si="3"/>
        <v>220</v>
      </c>
      <c r="G210" s="2">
        <v>0.80486111111111114</v>
      </c>
      <c r="H210" s="1">
        <v>44051</v>
      </c>
      <c r="I210" s="2">
        <v>0.46319444444444446</v>
      </c>
      <c r="J210">
        <v>4</v>
      </c>
      <c r="K210" t="s">
        <v>8</v>
      </c>
      <c r="L210">
        <v>6</v>
      </c>
      <c r="M210">
        <v>8</v>
      </c>
      <c r="N210">
        <v>0</v>
      </c>
      <c r="O210">
        <v>0</v>
      </c>
      <c r="P210">
        <v>0</v>
      </c>
      <c r="Q210" s="10" t="s">
        <v>59</v>
      </c>
    </row>
    <row r="211" spans="1:18" x14ac:dyDescent="0.25">
      <c r="A211">
        <v>4</v>
      </c>
      <c r="B211" t="s">
        <v>18</v>
      </c>
      <c r="C211" t="s">
        <v>18</v>
      </c>
      <c r="D211">
        <v>2020</v>
      </c>
      <c r="E211" s="1">
        <v>44050</v>
      </c>
      <c r="F211" s="5">
        <f t="shared" si="3"/>
        <v>220</v>
      </c>
      <c r="G211" s="2">
        <v>0.80486111111111114</v>
      </c>
      <c r="H211" s="1">
        <v>44051</v>
      </c>
      <c r="I211" s="2">
        <v>0.46319444444444446</v>
      </c>
      <c r="J211">
        <v>1</v>
      </c>
      <c r="K211" t="s">
        <v>8</v>
      </c>
      <c r="L211">
        <v>1</v>
      </c>
      <c r="M211">
        <v>3</v>
      </c>
      <c r="N211">
        <v>0</v>
      </c>
      <c r="O211">
        <v>0</v>
      </c>
      <c r="P211">
        <v>0</v>
      </c>
      <c r="Q211" s="10" t="s">
        <v>59</v>
      </c>
    </row>
    <row r="212" spans="1:18" x14ac:dyDescent="0.25">
      <c r="A212">
        <v>5</v>
      </c>
      <c r="B212" t="s">
        <v>22</v>
      </c>
      <c r="C212" t="s">
        <v>23</v>
      </c>
      <c r="D212">
        <v>2020</v>
      </c>
      <c r="E212" s="1">
        <v>44051</v>
      </c>
      <c r="F212" s="5">
        <f t="shared" si="3"/>
        <v>221</v>
      </c>
      <c r="G212" s="2">
        <v>0.8208333333333333</v>
      </c>
      <c r="H212" s="1">
        <v>44052</v>
      </c>
      <c r="I212" s="2">
        <v>0.45833333333333331</v>
      </c>
      <c r="J212">
        <v>16</v>
      </c>
      <c r="K212" t="s">
        <v>8</v>
      </c>
      <c r="L212">
        <v>5</v>
      </c>
      <c r="M212">
        <v>30</v>
      </c>
      <c r="N212">
        <v>0</v>
      </c>
      <c r="O212">
        <v>0</v>
      </c>
      <c r="P212">
        <v>0</v>
      </c>
      <c r="Q212" s="10" t="s">
        <v>59</v>
      </c>
    </row>
    <row r="213" spans="1:18" x14ac:dyDescent="0.25">
      <c r="A213">
        <v>5</v>
      </c>
      <c r="B213" t="s">
        <v>22</v>
      </c>
      <c r="C213" t="s">
        <v>23</v>
      </c>
      <c r="D213">
        <v>2020</v>
      </c>
      <c r="E213" s="1">
        <v>44051</v>
      </c>
      <c r="F213" s="5">
        <f t="shared" si="3"/>
        <v>221</v>
      </c>
      <c r="G213" s="2">
        <v>0.8208333333333333</v>
      </c>
      <c r="H213" s="1">
        <v>44052</v>
      </c>
      <c r="I213" s="2">
        <v>0.45833333333333331</v>
      </c>
      <c r="J213">
        <v>15</v>
      </c>
      <c r="K213" t="s">
        <v>8</v>
      </c>
      <c r="L213">
        <v>31</v>
      </c>
      <c r="M213">
        <v>15</v>
      </c>
      <c r="N213">
        <v>0</v>
      </c>
      <c r="O213">
        <v>0</v>
      </c>
      <c r="P213">
        <v>0</v>
      </c>
      <c r="Q213" s="10" t="s">
        <v>59</v>
      </c>
    </row>
    <row r="214" spans="1:18" x14ac:dyDescent="0.25">
      <c r="A214">
        <v>5</v>
      </c>
      <c r="B214" t="s">
        <v>22</v>
      </c>
      <c r="C214" t="s">
        <v>23</v>
      </c>
      <c r="D214">
        <v>2020</v>
      </c>
      <c r="E214" s="1">
        <v>44051</v>
      </c>
      <c r="F214" s="5">
        <f t="shared" si="3"/>
        <v>221</v>
      </c>
      <c r="G214" s="2">
        <v>0.8208333333333333</v>
      </c>
      <c r="H214" s="1">
        <v>44052</v>
      </c>
      <c r="I214" s="2">
        <v>0.45833333333333331</v>
      </c>
      <c r="J214">
        <v>12</v>
      </c>
      <c r="K214" t="s">
        <v>8</v>
      </c>
      <c r="L214">
        <v>12</v>
      </c>
      <c r="M214">
        <v>7</v>
      </c>
      <c r="N214">
        <v>0</v>
      </c>
      <c r="O214">
        <v>0</v>
      </c>
      <c r="P214">
        <v>0</v>
      </c>
      <c r="Q214" s="10" t="s">
        <v>59</v>
      </c>
    </row>
    <row r="215" spans="1:18" x14ac:dyDescent="0.25">
      <c r="A215">
        <v>5</v>
      </c>
      <c r="B215" t="s">
        <v>22</v>
      </c>
      <c r="C215" t="s">
        <v>23</v>
      </c>
      <c r="D215">
        <v>2020</v>
      </c>
      <c r="E215" s="1">
        <v>44051</v>
      </c>
      <c r="F215" s="5">
        <f t="shared" si="3"/>
        <v>221</v>
      </c>
      <c r="G215" s="2">
        <v>0.8208333333333333</v>
      </c>
      <c r="H215" s="1">
        <v>44052</v>
      </c>
      <c r="I215" s="2">
        <v>0.45833333333333331</v>
      </c>
      <c r="J215">
        <v>9</v>
      </c>
      <c r="K215" t="s">
        <v>8</v>
      </c>
      <c r="L215">
        <v>6</v>
      </c>
      <c r="M215">
        <v>0</v>
      </c>
      <c r="N215">
        <v>0</v>
      </c>
      <c r="O215">
        <v>0</v>
      </c>
      <c r="P215">
        <v>0</v>
      </c>
      <c r="Q215" s="10" t="s">
        <v>59</v>
      </c>
    </row>
    <row r="216" spans="1:18" x14ac:dyDescent="0.25">
      <c r="A216">
        <v>5</v>
      </c>
      <c r="B216" t="s">
        <v>22</v>
      </c>
      <c r="C216" t="s">
        <v>23</v>
      </c>
      <c r="D216">
        <v>2020</v>
      </c>
      <c r="E216" s="1">
        <v>44051</v>
      </c>
      <c r="F216" s="5">
        <f t="shared" si="3"/>
        <v>221</v>
      </c>
      <c r="G216" s="2">
        <v>0.8208333333333333</v>
      </c>
      <c r="H216" s="1">
        <v>44052</v>
      </c>
      <c r="I216" s="2">
        <v>0.45833333333333331</v>
      </c>
      <c r="J216">
        <v>8</v>
      </c>
      <c r="K216" t="s">
        <v>8</v>
      </c>
      <c r="L216">
        <v>3</v>
      </c>
      <c r="M216">
        <v>2</v>
      </c>
      <c r="N216">
        <v>0</v>
      </c>
      <c r="O216">
        <v>0</v>
      </c>
      <c r="P216">
        <v>0</v>
      </c>
      <c r="Q216" s="10" t="s">
        <v>59</v>
      </c>
    </row>
    <row r="217" spans="1:18" x14ac:dyDescent="0.25">
      <c r="A217">
        <v>5</v>
      </c>
      <c r="B217" t="s">
        <v>22</v>
      </c>
      <c r="C217" t="s">
        <v>23</v>
      </c>
      <c r="D217">
        <v>2020</v>
      </c>
      <c r="E217" s="1">
        <v>44051</v>
      </c>
      <c r="F217" s="5">
        <f t="shared" si="3"/>
        <v>221</v>
      </c>
      <c r="G217" s="2">
        <v>0.8208333333333333</v>
      </c>
      <c r="H217" s="1">
        <v>44052</v>
      </c>
      <c r="I217" s="2">
        <v>0.45833333333333331</v>
      </c>
      <c r="J217">
        <v>3</v>
      </c>
      <c r="K217" t="s">
        <v>8</v>
      </c>
      <c r="L217">
        <v>16</v>
      </c>
      <c r="M217">
        <v>3</v>
      </c>
      <c r="N217">
        <v>0</v>
      </c>
      <c r="O217">
        <v>0</v>
      </c>
      <c r="P217">
        <v>0</v>
      </c>
      <c r="Q217" s="10" t="s">
        <v>59</v>
      </c>
      <c r="R217" t="s">
        <v>25</v>
      </c>
    </row>
    <row r="218" spans="1:18" x14ac:dyDescent="0.25">
      <c r="A218">
        <v>6</v>
      </c>
      <c r="B218" t="s">
        <v>28</v>
      </c>
      <c r="C218" t="s">
        <v>18</v>
      </c>
      <c r="D218">
        <v>2020</v>
      </c>
      <c r="E218" s="1">
        <v>44054</v>
      </c>
      <c r="F218" s="5">
        <f t="shared" si="3"/>
        <v>224</v>
      </c>
      <c r="G218" s="2">
        <v>0.88541666666666663</v>
      </c>
      <c r="H218" s="1">
        <v>44055</v>
      </c>
      <c r="I218" s="2">
        <v>0.4375</v>
      </c>
      <c r="J218">
        <v>18</v>
      </c>
      <c r="K218" t="s">
        <v>8</v>
      </c>
      <c r="L218">
        <v>4</v>
      </c>
      <c r="M218">
        <v>0</v>
      </c>
      <c r="N218">
        <v>0</v>
      </c>
      <c r="O218">
        <v>0</v>
      </c>
      <c r="P218">
        <v>0</v>
      </c>
      <c r="Q218" s="10" t="s">
        <v>59</v>
      </c>
    </row>
    <row r="219" spans="1:18" x14ac:dyDescent="0.25">
      <c r="A219">
        <v>6</v>
      </c>
      <c r="B219" t="s">
        <v>28</v>
      </c>
      <c r="C219" t="s">
        <v>18</v>
      </c>
      <c r="D219">
        <v>2020</v>
      </c>
      <c r="E219" s="1">
        <v>44054</v>
      </c>
      <c r="F219" s="5">
        <f t="shared" si="3"/>
        <v>224</v>
      </c>
      <c r="G219" s="2">
        <v>0.88541666666666663</v>
      </c>
      <c r="H219" s="1">
        <v>44055</v>
      </c>
      <c r="I219" s="2">
        <v>0.4375</v>
      </c>
      <c r="J219">
        <v>15</v>
      </c>
      <c r="K219" t="s">
        <v>8</v>
      </c>
      <c r="L219">
        <v>4</v>
      </c>
      <c r="M219">
        <v>0</v>
      </c>
      <c r="N219">
        <v>0</v>
      </c>
      <c r="O219">
        <v>0</v>
      </c>
      <c r="P219">
        <v>0</v>
      </c>
      <c r="Q219" s="10" t="s">
        <v>59</v>
      </c>
    </row>
    <row r="220" spans="1:18" x14ac:dyDescent="0.25">
      <c r="A220">
        <v>6</v>
      </c>
      <c r="B220" t="s">
        <v>28</v>
      </c>
      <c r="C220" t="s">
        <v>18</v>
      </c>
      <c r="D220">
        <v>2020</v>
      </c>
      <c r="E220" s="1">
        <v>44054</v>
      </c>
      <c r="F220" s="5">
        <f t="shared" si="3"/>
        <v>224</v>
      </c>
      <c r="G220" s="2">
        <v>0.88541666666666663</v>
      </c>
      <c r="H220" s="1">
        <v>44055</v>
      </c>
      <c r="I220" s="2">
        <v>0.4375</v>
      </c>
      <c r="J220">
        <v>12</v>
      </c>
      <c r="K220" t="s">
        <v>8</v>
      </c>
      <c r="L220">
        <v>10</v>
      </c>
      <c r="M220">
        <v>16</v>
      </c>
      <c r="N220">
        <v>0</v>
      </c>
      <c r="O220">
        <v>0</v>
      </c>
      <c r="P220">
        <v>0</v>
      </c>
      <c r="Q220" s="10" t="s">
        <v>59</v>
      </c>
    </row>
    <row r="221" spans="1:18" x14ac:dyDescent="0.25">
      <c r="A221">
        <v>6</v>
      </c>
      <c r="B221" t="s">
        <v>28</v>
      </c>
      <c r="C221" t="s">
        <v>18</v>
      </c>
      <c r="D221">
        <v>2020</v>
      </c>
      <c r="E221" s="1">
        <v>44054</v>
      </c>
      <c r="F221" s="5">
        <f t="shared" si="3"/>
        <v>224</v>
      </c>
      <c r="G221" s="2">
        <v>0.88541666666666663</v>
      </c>
      <c r="H221" s="1">
        <v>44055</v>
      </c>
      <c r="I221" s="2">
        <v>0.4375</v>
      </c>
      <c r="J221">
        <v>6</v>
      </c>
      <c r="K221" t="s">
        <v>8</v>
      </c>
      <c r="L221">
        <v>6</v>
      </c>
      <c r="M221">
        <v>2</v>
      </c>
      <c r="N221">
        <v>0</v>
      </c>
      <c r="O221">
        <v>0</v>
      </c>
      <c r="P221">
        <v>0</v>
      </c>
      <c r="Q221" s="10" t="s">
        <v>59</v>
      </c>
    </row>
    <row r="222" spans="1:18" x14ac:dyDescent="0.25">
      <c r="A222">
        <v>6</v>
      </c>
      <c r="B222" t="s">
        <v>28</v>
      </c>
      <c r="C222" t="s">
        <v>18</v>
      </c>
      <c r="D222">
        <v>2020</v>
      </c>
      <c r="E222" s="1">
        <v>44054</v>
      </c>
      <c r="F222" s="5">
        <f t="shared" si="3"/>
        <v>224</v>
      </c>
      <c r="G222" s="2">
        <v>0.88541666666666663</v>
      </c>
      <c r="H222" s="1">
        <v>44055</v>
      </c>
      <c r="I222" s="2">
        <v>0.4375</v>
      </c>
      <c r="J222">
        <v>3</v>
      </c>
      <c r="K222" t="s">
        <v>8</v>
      </c>
      <c r="L222">
        <v>3</v>
      </c>
      <c r="M222">
        <v>4</v>
      </c>
      <c r="N222">
        <v>0</v>
      </c>
      <c r="O222">
        <v>0</v>
      </c>
      <c r="P222">
        <v>0</v>
      </c>
      <c r="Q222" s="10" t="s">
        <v>59</v>
      </c>
    </row>
    <row r="223" spans="1:18" x14ac:dyDescent="0.25">
      <c r="A223">
        <v>7</v>
      </c>
      <c r="B223" t="s">
        <v>36</v>
      </c>
      <c r="C223" t="s">
        <v>18</v>
      </c>
      <c r="D223">
        <v>2025</v>
      </c>
      <c r="E223" s="1">
        <v>45885</v>
      </c>
      <c r="F223" s="5">
        <f t="shared" si="3"/>
        <v>228</v>
      </c>
      <c r="G223" s="2">
        <v>0.82430555555555551</v>
      </c>
      <c r="H223" s="1">
        <v>45886</v>
      </c>
      <c r="I223" s="2">
        <v>0.41666666666666669</v>
      </c>
      <c r="J223">
        <v>4</v>
      </c>
      <c r="K223" t="s">
        <v>8</v>
      </c>
      <c r="L223">
        <v>2</v>
      </c>
      <c r="M223">
        <v>0</v>
      </c>
      <c r="N223">
        <v>0</v>
      </c>
      <c r="O223">
        <v>0</v>
      </c>
      <c r="P223">
        <v>0</v>
      </c>
      <c r="Q223" s="10" t="s">
        <v>59</v>
      </c>
      <c r="R223" t="s">
        <v>37</v>
      </c>
    </row>
    <row r="224" spans="1:18" x14ac:dyDescent="0.25">
      <c r="A224">
        <v>7</v>
      </c>
      <c r="B224" t="s">
        <v>36</v>
      </c>
      <c r="C224" t="s">
        <v>18</v>
      </c>
      <c r="D224">
        <v>2025</v>
      </c>
      <c r="E224" s="1">
        <v>45885</v>
      </c>
      <c r="F224" s="5">
        <f t="shared" si="3"/>
        <v>228</v>
      </c>
      <c r="G224" s="2">
        <v>0.82430555555555551</v>
      </c>
      <c r="H224" s="1">
        <v>45886</v>
      </c>
      <c r="I224" s="2">
        <v>0.41666666666666669</v>
      </c>
      <c r="J224">
        <v>5</v>
      </c>
      <c r="K224" t="s">
        <v>8</v>
      </c>
      <c r="L224">
        <v>2</v>
      </c>
      <c r="M224">
        <v>0</v>
      </c>
      <c r="N224">
        <v>0</v>
      </c>
      <c r="O224">
        <v>0</v>
      </c>
      <c r="P224">
        <v>0</v>
      </c>
      <c r="Q224" s="10" t="s">
        <v>59</v>
      </c>
      <c r="R224" t="s">
        <v>37</v>
      </c>
    </row>
    <row r="225" spans="1:18" x14ac:dyDescent="0.25">
      <c r="A225">
        <v>7</v>
      </c>
      <c r="B225" t="s">
        <v>36</v>
      </c>
      <c r="C225" t="s">
        <v>18</v>
      </c>
      <c r="D225">
        <v>2025</v>
      </c>
      <c r="E225" s="1">
        <v>45885</v>
      </c>
      <c r="F225" s="5">
        <f t="shared" si="3"/>
        <v>228</v>
      </c>
      <c r="G225" s="2">
        <v>0.82430555555555551</v>
      </c>
      <c r="H225" s="1">
        <v>45886</v>
      </c>
      <c r="I225" s="2">
        <v>0.41666666666666669</v>
      </c>
      <c r="J225">
        <v>11</v>
      </c>
      <c r="K225" t="s">
        <v>8</v>
      </c>
      <c r="L225">
        <v>1</v>
      </c>
      <c r="M225">
        <v>0</v>
      </c>
      <c r="N225">
        <v>0</v>
      </c>
      <c r="O225">
        <v>0</v>
      </c>
      <c r="P225">
        <v>0</v>
      </c>
      <c r="Q225" s="10" t="s">
        <v>59</v>
      </c>
      <c r="R225" t="s">
        <v>37</v>
      </c>
    </row>
    <row r="226" spans="1:18" x14ac:dyDescent="0.25">
      <c r="A226">
        <v>7</v>
      </c>
      <c r="B226" t="s">
        <v>36</v>
      </c>
      <c r="C226" t="s">
        <v>18</v>
      </c>
      <c r="D226">
        <v>2025</v>
      </c>
      <c r="E226" s="1">
        <v>45885</v>
      </c>
      <c r="F226" s="5">
        <f t="shared" si="3"/>
        <v>228</v>
      </c>
      <c r="G226" s="2">
        <v>0.82430555555555551</v>
      </c>
      <c r="H226" s="1">
        <v>45886</v>
      </c>
      <c r="I226" s="2">
        <v>0.41666666666666669</v>
      </c>
      <c r="J226">
        <v>16</v>
      </c>
      <c r="K226" t="s">
        <v>8</v>
      </c>
      <c r="L226">
        <v>0</v>
      </c>
      <c r="M226">
        <v>0</v>
      </c>
      <c r="N226">
        <v>0</v>
      </c>
      <c r="O226">
        <v>0</v>
      </c>
      <c r="P226">
        <v>0</v>
      </c>
      <c r="Q226" s="10" t="s">
        <v>59</v>
      </c>
      <c r="R226" t="s">
        <v>37</v>
      </c>
    </row>
    <row r="227" spans="1:18" x14ac:dyDescent="0.25">
      <c r="A227">
        <v>7</v>
      </c>
      <c r="B227" t="s">
        <v>36</v>
      </c>
      <c r="C227" t="s">
        <v>18</v>
      </c>
      <c r="D227">
        <v>2025</v>
      </c>
      <c r="E227" s="1">
        <v>45885</v>
      </c>
      <c r="F227" s="5">
        <f t="shared" si="3"/>
        <v>228</v>
      </c>
      <c r="G227" s="2">
        <v>0.82430555555555551</v>
      </c>
      <c r="H227" s="1">
        <v>45886</v>
      </c>
      <c r="I227" s="2">
        <v>0.41666666666666669</v>
      </c>
      <c r="J227">
        <v>18</v>
      </c>
      <c r="K227" t="s">
        <v>8</v>
      </c>
      <c r="L227">
        <v>0</v>
      </c>
      <c r="M227">
        <v>0</v>
      </c>
      <c r="N227">
        <v>0</v>
      </c>
      <c r="O227">
        <v>0</v>
      </c>
      <c r="P227">
        <v>0</v>
      </c>
      <c r="Q227" s="10" t="s">
        <v>59</v>
      </c>
      <c r="R227" t="s">
        <v>37</v>
      </c>
    </row>
    <row r="228" spans="1:18" x14ac:dyDescent="0.25">
      <c r="A228">
        <v>8</v>
      </c>
      <c r="B228" t="s">
        <v>18</v>
      </c>
      <c r="C228" t="s">
        <v>18</v>
      </c>
      <c r="D228">
        <v>2025</v>
      </c>
      <c r="E228" s="1">
        <v>45887</v>
      </c>
      <c r="F228" s="5">
        <f t="shared" si="3"/>
        <v>230</v>
      </c>
      <c r="G228" s="2">
        <v>0.85416666666666663</v>
      </c>
      <c r="H228" s="1">
        <v>45888</v>
      </c>
      <c r="I228" s="2">
        <v>0.40625</v>
      </c>
      <c r="J228">
        <v>8</v>
      </c>
      <c r="K228" t="s">
        <v>8</v>
      </c>
      <c r="L228">
        <v>1</v>
      </c>
      <c r="M228">
        <v>3</v>
      </c>
      <c r="N228">
        <v>0</v>
      </c>
      <c r="O228">
        <v>0</v>
      </c>
      <c r="P228">
        <v>0</v>
      </c>
      <c r="Q228" s="10" t="s">
        <v>59</v>
      </c>
    </row>
    <row r="229" spans="1:18" x14ac:dyDescent="0.25">
      <c r="A229">
        <v>8</v>
      </c>
      <c r="B229" t="s">
        <v>18</v>
      </c>
      <c r="C229" t="s">
        <v>18</v>
      </c>
      <c r="D229">
        <v>2025</v>
      </c>
      <c r="E229" s="1">
        <v>45887</v>
      </c>
      <c r="F229" s="5">
        <f t="shared" si="3"/>
        <v>230</v>
      </c>
      <c r="G229" s="2">
        <v>0.85416666666666663</v>
      </c>
      <c r="H229" s="1">
        <v>45888</v>
      </c>
      <c r="I229" s="2">
        <v>0.40625</v>
      </c>
      <c r="J229">
        <v>9</v>
      </c>
      <c r="K229" t="s">
        <v>8</v>
      </c>
      <c r="L229">
        <v>2</v>
      </c>
      <c r="M229">
        <v>0</v>
      </c>
      <c r="N229">
        <v>0</v>
      </c>
      <c r="O229">
        <v>0</v>
      </c>
      <c r="P229">
        <v>0</v>
      </c>
      <c r="Q229" s="10" t="s">
        <v>59</v>
      </c>
    </row>
    <row r="230" spans="1:18" x14ac:dyDescent="0.25">
      <c r="A230">
        <v>8</v>
      </c>
      <c r="B230" t="s">
        <v>18</v>
      </c>
      <c r="C230" t="s">
        <v>18</v>
      </c>
      <c r="D230">
        <v>2025</v>
      </c>
      <c r="E230" s="1">
        <v>45887</v>
      </c>
      <c r="F230" s="5">
        <f t="shared" si="3"/>
        <v>230</v>
      </c>
      <c r="G230" s="2">
        <v>0.85416666666666663</v>
      </c>
      <c r="H230" s="1">
        <v>45888</v>
      </c>
      <c r="I230" s="2">
        <v>0.40625</v>
      </c>
      <c r="J230">
        <v>10</v>
      </c>
      <c r="K230" t="s">
        <v>8</v>
      </c>
      <c r="L230">
        <v>0</v>
      </c>
      <c r="M230">
        <v>0</v>
      </c>
      <c r="N230">
        <v>0</v>
      </c>
      <c r="O230">
        <v>0</v>
      </c>
      <c r="P230">
        <v>0</v>
      </c>
      <c r="Q230" s="10" t="s">
        <v>59</v>
      </c>
    </row>
    <row r="231" spans="1:18" x14ac:dyDescent="0.25">
      <c r="A231">
        <v>8</v>
      </c>
      <c r="B231" t="s">
        <v>18</v>
      </c>
      <c r="C231" t="s">
        <v>18</v>
      </c>
      <c r="D231">
        <v>2025</v>
      </c>
      <c r="E231" s="1">
        <v>45887</v>
      </c>
      <c r="F231" s="5">
        <f t="shared" si="3"/>
        <v>230</v>
      </c>
      <c r="G231" s="2">
        <v>0.85416666666666663</v>
      </c>
      <c r="H231" s="1">
        <v>45888</v>
      </c>
      <c r="I231" s="2">
        <v>0.40625</v>
      </c>
      <c r="J231">
        <v>15</v>
      </c>
      <c r="K231" t="s">
        <v>8</v>
      </c>
      <c r="L231">
        <v>0</v>
      </c>
      <c r="M231">
        <v>3</v>
      </c>
      <c r="N231">
        <v>0</v>
      </c>
      <c r="O231">
        <v>0</v>
      </c>
      <c r="P231">
        <v>0</v>
      </c>
      <c r="Q231" s="10" t="s">
        <v>59</v>
      </c>
    </row>
    <row r="232" spans="1:18" x14ac:dyDescent="0.25">
      <c r="A232">
        <v>8</v>
      </c>
      <c r="B232" t="s">
        <v>18</v>
      </c>
      <c r="C232" t="s">
        <v>18</v>
      </c>
      <c r="D232">
        <v>2025</v>
      </c>
      <c r="E232" s="1">
        <v>45887</v>
      </c>
      <c r="F232" s="5">
        <f t="shared" si="3"/>
        <v>230</v>
      </c>
      <c r="G232" s="2">
        <v>0.85416666666666663</v>
      </c>
      <c r="H232" s="1">
        <v>45888</v>
      </c>
      <c r="I232" s="2">
        <v>0.40625</v>
      </c>
      <c r="J232">
        <v>20</v>
      </c>
      <c r="K232" t="s">
        <v>8</v>
      </c>
      <c r="L232">
        <v>0</v>
      </c>
      <c r="M232">
        <v>0</v>
      </c>
      <c r="N232">
        <v>0</v>
      </c>
      <c r="O232">
        <v>0</v>
      </c>
      <c r="P232">
        <v>0</v>
      </c>
      <c r="Q232" s="10" t="s">
        <v>59</v>
      </c>
    </row>
    <row r="233" spans="1:18" x14ac:dyDescent="0.25">
      <c r="A233">
        <v>9</v>
      </c>
      <c r="B233" t="s">
        <v>18</v>
      </c>
      <c r="C233" t="s">
        <v>18</v>
      </c>
      <c r="D233">
        <v>2025</v>
      </c>
      <c r="E233" s="1">
        <v>45888</v>
      </c>
      <c r="F233" s="5">
        <f t="shared" si="3"/>
        <v>231</v>
      </c>
      <c r="G233" s="2">
        <v>0.82291666666666663</v>
      </c>
      <c r="H233" s="1">
        <v>45889</v>
      </c>
      <c r="I233" s="2">
        <v>0.41666666666666669</v>
      </c>
      <c r="J233">
        <v>3</v>
      </c>
      <c r="K233" t="s">
        <v>8</v>
      </c>
      <c r="L233">
        <v>0</v>
      </c>
      <c r="M233">
        <v>1</v>
      </c>
      <c r="N233">
        <v>0</v>
      </c>
      <c r="O233">
        <v>0</v>
      </c>
      <c r="P233">
        <v>0</v>
      </c>
      <c r="Q233" s="10" t="s">
        <v>59</v>
      </c>
    </row>
    <row r="234" spans="1:18" x14ac:dyDescent="0.25">
      <c r="A234">
        <v>9</v>
      </c>
      <c r="B234" t="s">
        <v>18</v>
      </c>
      <c r="C234" t="s">
        <v>18</v>
      </c>
      <c r="D234">
        <v>2025</v>
      </c>
      <c r="E234" s="1">
        <v>45888</v>
      </c>
      <c r="F234" s="5">
        <f t="shared" si="3"/>
        <v>231</v>
      </c>
      <c r="G234" s="2">
        <v>0.82291666666666663</v>
      </c>
      <c r="H234" s="1">
        <v>45889</v>
      </c>
      <c r="I234" s="2">
        <v>0.41666666666666669</v>
      </c>
      <c r="J234">
        <v>12</v>
      </c>
      <c r="K234" t="s">
        <v>8</v>
      </c>
      <c r="L234">
        <v>7</v>
      </c>
      <c r="M234">
        <v>4</v>
      </c>
      <c r="N234">
        <v>0</v>
      </c>
      <c r="O234">
        <v>0</v>
      </c>
      <c r="P234">
        <v>0</v>
      </c>
      <c r="Q234" s="10" t="s">
        <v>59</v>
      </c>
    </row>
    <row r="235" spans="1:18" x14ac:dyDescent="0.25">
      <c r="A235">
        <v>9</v>
      </c>
      <c r="B235" t="s">
        <v>18</v>
      </c>
      <c r="C235" t="s">
        <v>18</v>
      </c>
      <c r="D235">
        <v>2025</v>
      </c>
      <c r="E235" s="1">
        <v>45888</v>
      </c>
      <c r="F235" s="5">
        <f t="shared" si="3"/>
        <v>231</v>
      </c>
      <c r="G235" s="2">
        <v>0.82291666666666663</v>
      </c>
      <c r="H235" s="1">
        <v>45889</v>
      </c>
      <c r="I235" s="2">
        <v>0.41666666666666669</v>
      </c>
      <c r="J235">
        <v>14</v>
      </c>
      <c r="K235" t="s">
        <v>8</v>
      </c>
      <c r="L235">
        <v>0</v>
      </c>
      <c r="M235">
        <v>2</v>
      </c>
      <c r="N235">
        <v>0</v>
      </c>
      <c r="O235">
        <v>0</v>
      </c>
      <c r="P235">
        <v>0</v>
      </c>
      <c r="Q235" s="10" t="s">
        <v>59</v>
      </c>
    </row>
    <row r="236" spans="1:18" x14ac:dyDescent="0.25">
      <c r="A236">
        <v>9</v>
      </c>
      <c r="B236" t="s">
        <v>18</v>
      </c>
      <c r="C236" t="s">
        <v>18</v>
      </c>
      <c r="D236">
        <v>2025</v>
      </c>
      <c r="E236" s="1">
        <v>45888</v>
      </c>
      <c r="F236" s="5">
        <f t="shared" si="3"/>
        <v>231</v>
      </c>
      <c r="G236" s="2">
        <v>0.82291666666666663</v>
      </c>
      <c r="H236" s="1">
        <v>45889</v>
      </c>
      <c r="I236" s="2">
        <v>0.41666666666666669</v>
      </c>
      <c r="J236">
        <v>17</v>
      </c>
      <c r="K236" t="s">
        <v>8</v>
      </c>
      <c r="L236">
        <v>2</v>
      </c>
      <c r="M236">
        <v>1</v>
      </c>
      <c r="N236">
        <v>0</v>
      </c>
      <c r="O236">
        <v>0</v>
      </c>
      <c r="P236">
        <v>0</v>
      </c>
      <c r="Q236" s="10" t="s">
        <v>59</v>
      </c>
    </row>
    <row r="237" spans="1:18" x14ac:dyDescent="0.25">
      <c r="A237">
        <v>9</v>
      </c>
      <c r="B237" t="s">
        <v>18</v>
      </c>
      <c r="C237" t="s">
        <v>18</v>
      </c>
      <c r="D237">
        <v>2025</v>
      </c>
      <c r="E237" s="1">
        <v>45888</v>
      </c>
      <c r="F237" s="5">
        <f t="shared" si="3"/>
        <v>231</v>
      </c>
      <c r="G237" s="2">
        <v>0.82291666666666663</v>
      </c>
      <c r="H237" s="1">
        <v>45889</v>
      </c>
      <c r="I237" s="2">
        <v>0.41666666666666669</v>
      </c>
      <c r="J237">
        <v>18</v>
      </c>
      <c r="K237" t="s">
        <v>8</v>
      </c>
      <c r="L237">
        <v>0</v>
      </c>
      <c r="M237">
        <v>0</v>
      </c>
      <c r="N237">
        <v>0</v>
      </c>
      <c r="O237">
        <v>0</v>
      </c>
      <c r="P237">
        <v>0</v>
      </c>
      <c r="Q237" s="10" t="s">
        <v>59</v>
      </c>
    </row>
    <row r="238" spans="1:18" x14ac:dyDescent="0.25">
      <c r="A238">
        <v>10</v>
      </c>
      <c r="B238" t="s">
        <v>18</v>
      </c>
      <c r="C238" t="s">
        <v>18</v>
      </c>
      <c r="D238">
        <v>2025</v>
      </c>
      <c r="E238" s="1">
        <v>45889</v>
      </c>
      <c r="F238" s="5">
        <f t="shared" si="3"/>
        <v>232</v>
      </c>
      <c r="G238" s="2">
        <v>0.88541666666666663</v>
      </c>
      <c r="H238" s="1">
        <v>45890</v>
      </c>
      <c r="I238" s="2">
        <v>0.40625</v>
      </c>
      <c r="J238">
        <v>4</v>
      </c>
      <c r="K238" t="s">
        <v>8</v>
      </c>
      <c r="L238">
        <v>1</v>
      </c>
      <c r="M238">
        <v>1</v>
      </c>
      <c r="N238">
        <v>0</v>
      </c>
      <c r="O238">
        <v>0</v>
      </c>
      <c r="P238">
        <v>0</v>
      </c>
      <c r="Q238" s="10" t="s">
        <v>59</v>
      </c>
    </row>
    <row r="239" spans="1:18" x14ac:dyDescent="0.25">
      <c r="A239">
        <v>10</v>
      </c>
      <c r="B239" t="s">
        <v>18</v>
      </c>
      <c r="C239" t="s">
        <v>18</v>
      </c>
      <c r="D239">
        <v>2025</v>
      </c>
      <c r="E239" s="1">
        <v>45889</v>
      </c>
      <c r="F239" s="5">
        <f t="shared" si="3"/>
        <v>232</v>
      </c>
      <c r="G239" s="2">
        <v>0.88541666666666663</v>
      </c>
      <c r="H239" s="1">
        <v>45890</v>
      </c>
      <c r="I239" s="2">
        <v>0.40625</v>
      </c>
      <c r="J239">
        <v>14</v>
      </c>
      <c r="K239" t="s">
        <v>8</v>
      </c>
      <c r="L239">
        <v>0</v>
      </c>
      <c r="M239">
        <v>2</v>
      </c>
      <c r="N239">
        <v>0</v>
      </c>
      <c r="O239">
        <v>0</v>
      </c>
      <c r="P239">
        <v>0</v>
      </c>
      <c r="Q239" s="10" t="s">
        <v>59</v>
      </c>
    </row>
    <row r="240" spans="1:18" x14ac:dyDescent="0.25">
      <c r="A240">
        <v>10</v>
      </c>
      <c r="B240" t="s">
        <v>18</v>
      </c>
      <c r="C240" t="s">
        <v>18</v>
      </c>
      <c r="D240">
        <v>2025</v>
      </c>
      <c r="E240" s="1">
        <v>45889</v>
      </c>
      <c r="F240" s="5">
        <f t="shared" si="3"/>
        <v>232</v>
      </c>
      <c r="G240" s="2">
        <v>0.88541666666666663</v>
      </c>
      <c r="H240" s="1">
        <v>45890</v>
      </c>
      <c r="I240" s="2">
        <v>0.40625</v>
      </c>
      <c r="J240">
        <v>15</v>
      </c>
      <c r="K240" t="s">
        <v>8</v>
      </c>
      <c r="L240">
        <v>0</v>
      </c>
      <c r="M240">
        <v>0</v>
      </c>
      <c r="N240">
        <v>0</v>
      </c>
      <c r="O240">
        <v>0</v>
      </c>
      <c r="P240">
        <v>0</v>
      </c>
      <c r="Q240" s="10" t="s">
        <v>59</v>
      </c>
    </row>
    <row r="241" spans="1:17" x14ac:dyDescent="0.25">
      <c r="A241">
        <v>10</v>
      </c>
      <c r="B241" t="s">
        <v>18</v>
      </c>
      <c r="C241" t="s">
        <v>18</v>
      </c>
      <c r="D241">
        <v>2025</v>
      </c>
      <c r="E241" s="1">
        <v>45889</v>
      </c>
      <c r="F241" s="5">
        <f t="shared" si="3"/>
        <v>232</v>
      </c>
      <c r="G241" s="2">
        <v>0.88541666666666663</v>
      </c>
      <c r="H241" s="1">
        <v>45890</v>
      </c>
      <c r="I241" s="2">
        <v>0.40625</v>
      </c>
      <c r="J241">
        <v>18</v>
      </c>
      <c r="K241" t="s">
        <v>8</v>
      </c>
      <c r="L241">
        <v>0</v>
      </c>
      <c r="M241">
        <v>0</v>
      </c>
      <c r="N241">
        <v>0</v>
      </c>
      <c r="O241">
        <v>0</v>
      </c>
      <c r="P241">
        <v>0</v>
      </c>
      <c r="Q241" s="10" t="s">
        <v>59</v>
      </c>
    </row>
    <row r="242" spans="1:17" x14ac:dyDescent="0.25">
      <c r="A242">
        <v>10</v>
      </c>
      <c r="B242" t="s">
        <v>18</v>
      </c>
      <c r="C242" t="s">
        <v>18</v>
      </c>
      <c r="D242">
        <v>2025</v>
      </c>
      <c r="E242" s="1">
        <v>45889</v>
      </c>
      <c r="F242" s="5">
        <f t="shared" si="3"/>
        <v>232</v>
      </c>
      <c r="G242" s="2">
        <v>0.88541666666666663</v>
      </c>
      <c r="H242" s="1">
        <v>45890</v>
      </c>
      <c r="I242" s="2">
        <v>0.40625</v>
      </c>
      <c r="J242">
        <v>20</v>
      </c>
      <c r="K242" t="s">
        <v>8</v>
      </c>
      <c r="L242">
        <v>0</v>
      </c>
      <c r="M242">
        <v>0</v>
      </c>
      <c r="N242">
        <v>0</v>
      </c>
      <c r="O242">
        <v>0</v>
      </c>
      <c r="P242">
        <v>0</v>
      </c>
      <c r="Q242" s="10" t="s">
        <v>59</v>
      </c>
    </row>
    <row r="243" spans="1:17" x14ac:dyDescent="0.25">
      <c r="D243">
        <v>2015</v>
      </c>
      <c r="E243" s="8">
        <v>42219</v>
      </c>
      <c r="F243" s="5">
        <f t="shared" si="3"/>
        <v>215</v>
      </c>
      <c r="G243" s="9">
        <v>0.59722222222222221</v>
      </c>
      <c r="H243" s="8">
        <v>42219</v>
      </c>
      <c r="I243" s="9">
        <v>0.73333333333333339</v>
      </c>
      <c r="J243" s="10">
        <v>2</v>
      </c>
      <c r="K243" t="s">
        <v>10</v>
      </c>
      <c r="L243">
        <v>0</v>
      </c>
      <c r="M243">
        <v>1</v>
      </c>
      <c r="N243">
        <v>0</v>
      </c>
      <c r="O243">
        <v>0</v>
      </c>
      <c r="P243">
        <v>0</v>
      </c>
      <c r="Q243" s="10" t="s">
        <v>60</v>
      </c>
    </row>
    <row r="244" spans="1:17" x14ac:dyDescent="0.25">
      <c r="D244">
        <v>2015</v>
      </c>
      <c r="E244" s="8">
        <v>42219</v>
      </c>
      <c r="F244" s="5">
        <f t="shared" si="3"/>
        <v>215</v>
      </c>
      <c r="G244" s="9">
        <v>0.59722222222222221</v>
      </c>
      <c r="H244" s="8">
        <v>42219</v>
      </c>
      <c r="I244" s="9">
        <v>0.73333333333333339</v>
      </c>
      <c r="J244" s="10">
        <v>5</v>
      </c>
      <c r="K244" t="s">
        <v>10</v>
      </c>
      <c r="L244">
        <v>0</v>
      </c>
      <c r="M244">
        <v>0</v>
      </c>
      <c r="N244">
        <v>0</v>
      </c>
      <c r="O244">
        <v>0</v>
      </c>
      <c r="P244">
        <v>0</v>
      </c>
      <c r="Q244" s="10" t="s">
        <v>60</v>
      </c>
    </row>
    <row r="245" spans="1:17" x14ac:dyDescent="0.25">
      <c r="D245">
        <v>2015</v>
      </c>
      <c r="E245" s="8">
        <v>42219</v>
      </c>
      <c r="F245" s="5">
        <f t="shared" si="3"/>
        <v>215</v>
      </c>
      <c r="G245" s="9">
        <v>0.59722222222222221</v>
      </c>
      <c r="H245" s="8">
        <v>42219</v>
      </c>
      <c r="I245" s="9">
        <v>0.73333333333333339</v>
      </c>
      <c r="J245" s="10">
        <v>8</v>
      </c>
      <c r="K245" t="s">
        <v>10</v>
      </c>
      <c r="L245">
        <v>1</v>
      </c>
      <c r="M245">
        <v>0</v>
      </c>
      <c r="N245">
        <v>0</v>
      </c>
      <c r="O245">
        <v>0</v>
      </c>
      <c r="P245">
        <v>0</v>
      </c>
      <c r="Q245" s="10" t="s">
        <v>60</v>
      </c>
    </row>
    <row r="246" spans="1:17" x14ac:dyDescent="0.25">
      <c r="D246">
        <v>2015</v>
      </c>
      <c r="E246" s="8">
        <v>42219</v>
      </c>
      <c r="F246" s="5">
        <f t="shared" si="3"/>
        <v>215</v>
      </c>
      <c r="G246" s="9">
        <v>0.59722222222222221</v>
      </c>
      <c r="H246" s="8">
        <v>42219</v>
      </c>
      <c r="I246" s="9">
        <v>0.73333333333333339</v>
      </c>
      <c r="J246" s="10">
        <v>11</v>
      </c>
      <c r="K246" t="s">
        <v>10</v>
      </c>
      <c r="L246">
        <v>0</v>
      </c>
      <c r="M246">
        <v>0</v>
      </c>
      <c r="N246">
        <v>0</v>
      </c>
      <c r="O246">
        <v>0</v>
      </c>
      <c r="P246">
        <v>0</v>
      </c>
      <c r="Q246" s="10" t="s">
        <v>60</v>
      </c>
    </row>
    <row r="247" spans="1:17" x14ac:dyDescent="0.25">
      <c r="D247">
        <v>2015</v>
      </c>
      <c r="E247" s="8">
        <v>42219</v>
      </c>
      <c r="F247" s="5">
        <f t="shared" si="3"/>
        <v>215</v>
      </c>
      <c r="G247" s="9">
        <v>0.59722222222222221</v>
      </c>
      <c r="H247" s="8">
        <v>42219</v>
      </c>
      <c r="I247" s="9">
        <v>0.73333333333333339</v>
      </c>
      <c r="J247" s="10">
        <v>14</v>
      </c>
      <c r="K247" t="s">
        <v>10</v>
      </c>
      <c r="L247">
        <v>0</v>
      </c>
      <c r="M247">
        <v>0</v>
      </c>
      <c r="N247">
        <v>0</v>
      </c>
      <c r="O247">
        <v>0</v>
      </c>
      <c r="P247">
        <v>0</v>
      </c>
      <c r="Q247" s="10" t="s">
        <v>60</v>
      </c>
    </row>
    <row r="248" spans="1:17" x14ac:dyDescent="0.25">
      <c r="D248">
        <v>2015</v>
      </c>
      <c r="E248" s="8">
        <v>42220</v>
      </c>
      <c r="F248" s="5">
        <f t="shared" si="3"/>
        <v>216</v>
      </c>
      <c r="G248" s="9">
        <v>0.80625000000000002</v>
      </c>
      <c r="H248" s="8">
        <v>42221</v>
      </c>
      <c r="I248" s="9">
        <v>0.44305555555555554</v>
      </c>
      <c r="J248" s="10">
        <v>2</v>
      </c>
      <c r="K248" t="s">
        <v>10</v>
      </c>
      <c r="L248">
        <v>0</v>
      </c>
      <c r="M248">
        <v>2</v>
      </c>
      <c r="N248">
        <v>0</v>
      </c>
      <c r="O248">
        <v>0</v>
      </c>
      <c r="P248">
        <v>0</v>
      </c>
      <c r="Q248" s="10" t="s">
        <v>60</v>
      </c>
    </row>
    <row r="249" spans="1:17" x14ac:dyDescent="0.25">
      <c r="D249">
        <v>2015</v>
      </c>
      <c r="E249" s="8">
        <v>42220</v>
      </c>
      <c r="F249" s="5">
        <f t="shared" si="3"/>
        <v>216</v>
      </c>
      <c r="G249" s="9">
        <v>0.80625000000000002</v>
      </c>
      <c r="H249" s="8">
        <v>42221</v>
      </c>
      <c r="I249" s="9">
        <v>0.44305555555555554</v>
      </c>
      <c r="J249" s="10">
        <v>5</v>
      </c>
      <c r="K249" t="s">
        <v>10</v>
      </c>
      <c r="L249">
        <v>0</v>
      </c>
      <c r="M249">
        <v>0</v>
      </c>
      <c r="N249">
        <v>0</v>
      </c>
      <c r="O249">
        <v>0</v>
      </c>
      <c r="P249">
        <v>0</v>
      </c>
      <c r="Q249" s="10" t="s">
        <v>60</v>
      </c>
    </row>
    <row r="250" spans="1:17" x14ac:dyDescent="0.25">
      <c r="D250">
        <v>2015</v>
      </c>
      <c r="E250" s="8">
        <v>42220</v>
      </c>
      <c r="F250" s="5">
        <f t="shared" si="3"/>
        <v>216</v>
      </c>
      <c r="G250" s="9">
        <v>0.80625000000000002</v>
      </c>
      <c r="H250" s="8">
        <v>42221</v>
      </c>
      <c r="I250" s="9">
        <v>0.44305555555555554</v>
      </c>
      <c r="J250" s="10">
        <v>8</v>
      </c>
      <c r="K250" t="s">
        <v>10</v>
      </c>
      <c r="L250">
        <v>0</v>
      </c>
      <c r="M250">
        <v>1</v>
      </c>
      <c r="N250">
        <v>0</v>
      </c>
      <c r="O250">
        <v>0</v>
      </c>
      <c r="P250">
        <v>0</v>
      </c>
      <c r="Q250" s="10" t="s">
        <v>60</v>
      </c>
    </row>
    <row r="251" spans="1:17" x14ac:dyDescent="0.25">
      <c r="D251">
        <v>2015</v>
      </c>
      <c r="E251" s="8">
        <v>42220</v>
      </c>
      <c r="F251" s="5">
        <f t="shared" si="3"/>
        <v>216</v>
      </c>
      <c r="G251" s="9">
        <v>0.80625000000000002</v>
      </c>
      <c r="H251" s="8">
        <v>42221</v>
      </c>
      <c r="I251" s="9">
        <v>0.44305555555555554</v>
      </c>
      <c r="J251" s="10">
        <v>11</v>
      </c>
      <c r="K251" t="s">
        <v>10</v>
      </c>
      <c r="L251">
        <v>0</v>
      </c>
      <c r="M251">
        <v>0</v>
      </c>
      <c r="N251">
        <v>0</v>
      </c>
      <c r="O251">
        <v>0</v>
      </c>
      <c r="P251">
        <v>0</v>
      </c>
      <c r="Q251" s="10" t="s">
        <v>60</v>
      </c>
    </row>
    <row r="252" spans="1:17" x14ac:dyDescent="0.25">
      <c r="D252">
        <v>2015</v>
      </c>
      <c r="E252" s="8">
        <v>42220</v>
      </c>
      <c r="F252" s="5">
        <f t="shared" si="3"/>
        <v>216</v>
      </c>
      <c r="G252" s="9">
        <v>0.80625000000000002</v>
      </c>
      <c r="H252" s="8">
        <v>42221</v>
      </c>
      <c r="I252" s="9">
        <v>0.44305555555555554</v>
      </c>
      <c r="J252" s="10">
        <v>14</v>
      </c>
      <c r="K252" t="s">
        <v>10</v>
      </c>
      <c r="L252">
        <v>0</v>
      </c>
      <c r="M252">
        <v>0</v>
      </c>
      <c r="N252">
        <v>0</v>
      </c>
      <c r="O252">
        <v>0</v>
      </c>
      <c r="P252">
        <v>0</v>
      </c>
      <c r="Q252" s="10" t="s">
        <v>60</v>
      </c>
    </row>
    <row r="253" spans="1:17" x14ac:dyDescent="0.25">
      <c r="D253">
        <v>2015</v>
      </c>
      <c r="E253" s="8">
        <v>42222</v>
      </c>
      <c r="F253" s="5">
        <f t="shared" si="3"/>
        <v>218</v>
      </c>
      <c r="G253" s="9">
        <v>0.9916666666666667</v>
      </c>
      <c r="H253" s="8">
        <v>42223</v>
      </c>
      <c r="I253" s="9">
        <v>0.48958333333333331</v>
      </c>
      <c r="J253" s="10">
        <v>2</v>
      </c>
      <c r="K253" t="s">
        <v>10</v>
      </c>
      <c r="L253">
        <v>0</v>
      </c>
      <c r="M253">
        <v>0</v>
      </c>
      <c r="N253">
        <v>0</v>
      </c>
      <c r="O253">
        <v>0</v>
      </c>
      <c r="P253">
        <v>0</v>
      </c>
      <c r="Q253" s="10" t="s">
        <v>60</v>
      </c>
    </row>
    <row r="254" spans="1:17" x14ac:dyDescent="0.25">
      <c r="D254">
        <v>2015</v>
      </c>
      <c r="E254" s="8">
        <v>42222</v>
      </c>
      <c r="F254" s="5">
        <f t="shared" si="3"/>
        <v>218</v>
      </c>
      <c r="G254" s="9">
        <v>0.9916666666666667</v>
      </c>
      <c r="H254" s="8">
        <v>42223</v>
      </c>
      <c r="I254" s="9">
        <v>0.48958333333333331</v>
      </c>
      <c r="J254" s="10">
        <v>5</v>
      </c>
      <c r="K254" t="s">
        <v>10</v>
      </c>
      <c r="L254">
        <v>0</v>
      </c>
      <c r="M254">
        <v>0</v>
      </c>
      <c r="N254">
        <v>0</v>
      </c>
      <c r="O254">
        <v>0</v>
      </c>
      <c r="P254">
        <v>0</v>
      </c>
      <c r="Q254" s="10" t="s">
        <v>60</v>
      </c>
    </row>
    <row r="255" spans="1:17" x14ac:dyDescent="0.25">
      <c r="D255">
        <v>2015</v>
      </c>
      <c r="E255" s="8">
        <v>42222</v>
      </c>
      <c r="F255" s="5">
        <f t="shared" si="3"/>
        <v>218</v>
      </c>
      <c r="G255" s="9">
        <v>0.9916666666666667</v>
      </c>
      <c r="H255" s="8">
        <v>42223</v>
      </c>
      <c r="I255" s="9">
        <v>0.48958333333333331</v>
      </c>
      <c r="J255" s="10">
        <v>8</v>
      </c>
      <c r="K255" t="s">
        <v>10</v>
      </c>
      <c r="L255">
        <v>4</v>
      </c>
      <c r="M255">
        <v>0</v>
      </c>
      <c r="N255">
        <v>0</v>
      </c>
      <c r="O255">
        <v>0</v>
      </c>
      <c r="P255">
        <v>0</v>
      </c>
      <c r="Q255" s="10" t="s">
        <v>60</v>
      </c>
    </row>
    <row r="256" spans="1:17" x14ac:dyDescent="0.25">
      <c r="D256">
        <v>2015</v>
      </c>
      <c r="E256" s="8">
        <v>42222</v>
      </c>
      <c r="F256" s="5">
        <f t="shared" si="3"/>
        <v>218</v>
      </c>
      <c r="G256" s="9">
        <v>0.9916666666666667</v>
      </c>
      <c r="H256" s="8">
        <v>42223</v>
      </c>
      <c r="I256" s="9">
        <v>0.48958333333333331</v>
      </c>
      <c r="J256" s="10">
        <v>11</v>
      </c>
      <c r="K256" t="s">
        <v>10</v>
      </c>
      <c r="L256">
        <v>11</v>
      </c>
      <c r="M256">
        <v>0</v>
      </c>
      <c r="N256">
        <v>0</v>
      </c>
      <c r="O256">
        <v>0</v>
      </c>
      <c r="P256">
        <v>0</v>
      </c>
      <c r="Q256" s="10" t="s">
        <v>60</v>
      </c>
    </row>
    <row r="257" spans="4:17" x14ac:dyDescent="0.25">
      <c r="D257">
        <v>2015</v>
      </c>
      <c r="E257" s="8">
        <v>42222</v>
      </c>
      <c r="F257" s="5">
        <f t="shared" si="3"/>
        <v>218</v>
      </c>
      <c r="G257" s="9">
        <v>0.9916666666666667</v>
      </c>
      <c r="H257" s="8">
        <v>42223</v>
      </c>
      <c r="I257" s="9">
        <v>0.48958333333333331</v>
      </c>
      <c r="J257" s="10">
        <v>14</v>
      </c>
      <c r="K257" t="s">
        <v>10</v>
      </c>
      <c r="L257">
        <v>1</v>
      </c>
      <c r="M257">
        <v>0</v>
      </c>
      <c r="N257">
        <v>0</v>
      </c>
      <c r="O257">
        <v>0</v>
      </c>
      <c r="P257">
        <v>0</v>
      </c>
      <c r="Q257" s="10" t="s">
        <v>60</v>
      </c>
    </row>
    <row r="258" spans="4:17" x14ac:dyDescent="0.25">
      <c r="D258">
        <v>2015</v>
      </c>
      <c r="E258" s="8">
        <v>42225</v>
      </c>
      <c r="F258" s="5">
        <f t="shared" ref="F258:F300" si="4">E258-DATE(YEAR(E258),1,0)</f>
        <v>221</v>
      </c>
      <c r="G258" s="9">
        <v>0.92083333333333339</v>
      </c>
      <c r="H258" s="8">
        <v>42226</v>
      </c>
      <c r="I258" s="9">
        <v>0.4861111111111111</v>
      </c>
      <c r="J258" s="10">
        <v>2</v>
      </c>
      <c r="K258" t="s">
        <v>10</v>
      </c>
      <c r="L258">
        <v>0</v>
      </c>
      <c r="M258">
        <v>4</v>
      </c>
      <c r="N258">
        <v>0</v>
      </c>
      <c r="O258">
        <v>1</v>
      </c>
      <c r="P258">
        <v>0</v>
      </c>
      <c r="Q258" s="10" t="s">
        <v>60</v>
      </c>
    </row>
    <row r="259" spans="4:17" x14ac:dyDescent="0.25">
      <c r="D259">
        <v>2015</v>
      </c>
      <c r="E259" s="8">
        <v>42225</v>
      </c>
      <c r="F259" s="5">
        <f t="shared" si="4"/>
        <v>221</v>
      </c>
      <c r="G259" s="9">
        <v>0.92083333333333339</v>
      </c>
      <c r="H259" s="8">
        <v>42226</v>
      </c>
      <c r="I259" s="9">
        <v>0.4861111111111111</v>
      </c>
      <c r="J259" s="10">
        <v>5</v>
      </c>
      <c r="K259" t="s">
        <v>10</v>
      </c>
      <c r="L259">
        <v>1</v>
      </c>
      <c r="M259">
        <v>0</v>
      </c>
      <c r="N259">
        <v>0</v>
      </c>
      <c r="O259">
        <v>0</v>
      </c>
      <c r="P259">
        <v>0</v>
      </c>
      <c r="Q259" s="10" t="s">
        <v>60</v>
      </c>
    </row>
    <row r="260" spans="4:17" x14ac:dyDescent="0.25">
      <c r="D260">
        <v>2015</v>
      </c>
      <c r="E260" s="8">
        <v>42225</v>
      </c>
      <c r="F260" s="5">
        <f t="shared" si="4"/>
        <v>221</v>
      </c>
      <c r="G260" s="9">
        <v>0.92083333333333339</v>
      </c>
      <c r="H260" s="8">
        <v>42226</v>
      </c>
      <c r="I260" s="9">
        <v>0.4861111111111111</v>
      </c>
      <c r="J260" s="10">
        <v>8</v>
      </c>
      <c r="K260" t="s">
        <v>10</v>
      </c>
      <c r="L260">
        <v>3</v>
      </c>
      <c r="M260">
        <v>1</v>
      </c>
      <c r="N260">
        <v>0</v>
      </c>
      <c r="O260">
        <v>0</v>
      </c>
      <c r="P260">
        <v>0</v>
      </c>
      <c r="Q260" s="10" t="s">
        <v>60</v>
      </c>
    </row>
    <row r="261" spans="4:17" x14ac:dyDescent="0.25">
      <c r="D261">
        <v>2015</v>
      </c>
      <c r="E261" s="8">
        <v>42225</v>
      </c>
      <c r="F261" s="5">
        <f t="shared" si="4"/>
        <v>221</v>
      </c>
      <c r="G261" s="9">
        <v>0.92083333333333339</v>
      </c>
      <c r="H261" s="8">
        <v>42226</v>
      </c>
      <c r="I261" s="9">
        <v>0.4861111111111111</v>
      </c>
      <c r="J261" s="10">
        <v>11</v>
      </c>
      <c r="K261" t="s">
        <v>10</v>
      </c>
      <c r="L261">
        <v>1</v>
      </c>
      <c r="M261">
        <v>0</v>
      </c>
      <c r="N261">
        <v>0</v>
      </c>
      <c r="O261">
        <v>0</v>
      </c>
      <c r="P261">
        <v>0</v>
      </c>
      <c r="Q261" s="10" t="s">
        <v>60</v>
      </c>
    </row>
    <row r="262" spans="4:17" x14ac:dyDescent="0.25">
      <c r="D262">
        <v>2015</v>
      </c>
      <c r="E262" s="8">
        <v>42225</v>
      </c>
      <c r="F262" s="5">
        <f t="shared" si="4"/>
        <v>221</v>
      </c>
      <c r="G262" s="9">
        <v>0.92083333333333339</v>
      </c>
      <c r="H262" s="8">
        <v>42226</v>
      </c>
      <c r="I262" s="9">
        <v>0.4861111111111111</v>
      </c>
      <c r="J262" s="10">
        <v>14</v>
      </c>
      <c r="K262" t="s">
        <v>10</v>
      </c>
      <c r="L262">
        <v>0</v>
      </c>
      <c r="M262">
        <v>3</v>
      </c>
      <c r="N262">
        <v>0</v>
      </c>
      <c r="O262">
        <v>0</v>
      </c>
      <c r="P262">
        <v>0</v>
      </c>
      <c r="Q262" s="10" t="s">
        <v>60</v>
      </c>
    </row>
    <row r="263" spans="4:17" x14ac:dyDescent="0.25">
      <c r="D263">
        <v>2015</v>
      </c>
      <c r="E263" s="8">
        <v>42219</v>
      </c>
      <c r="F263" s="5">
        <f t="shared" si="4"/>
        <v>215</v>
      </c>
      <c r="G263" s="9">
        <v>0.59722222222222221</v>
      </c>
      <c r="H263" s="8">
        <v>42219</v>
      </c>
      <c r="I263" s="9">
        <v>0.73333333333333339</v>
      </c>
      <c r="J263" s="10">
        <v>1</v>
      </c>
      <c r="K263" t="s">
        <v>9</v>
      </c>
      <c r="L263">
        <v>0</v>
      </c>
      <c r="M263">
        <v>0</v>
      </c>
      <c r="N263">
        <v>0</v>
      </c>
      <c r="O263">
        <v>0</v>
      </c>
      <c r="P263">
        <v>0</v>
      </c>
      <c r="Q263" s="10" t="s">
        <v>60</v>
      </c>
    </row>
    <row r="264" spans="4:17" x14ac:dyDescent="0.25">
      <c r="D264">
        <v>2015</v>
      </c>
      <c r="E264" s="8">
        <v>42219</v>
      </c>
      <c r="F264" s="5">
        <f t="shared" si="4"/>
        <v>215</v>
      </c>
      <c r="G264" s="9">
        <v>0.59722222222222221</v>
      </c>
      <c r="H264" s="8">
        <v>42219</v>
      </c>
      <c r="I264" s="9">
        <v>0.73333333333333339</v>
      </c>
      <c r="J264" s="10">
        <v>4</v>
      </c>
      <c r="K264" t="s">
        <v>9</v>
      </c>
      <c r="L264">
        <v>0</v>
      </c>
      <c r="M264">
        <v>0</v>
      </c>
      <c r="N264">
        <v>0</v>
      </c>
      <c r="O264">
        <v>0</v>
      </c>
      <c r="P264">
        <v>0</v>
      </c>
      <c r="Q264" s="10" t="s">
        <v>60</v>
      </c>
    </row>
    <row r="265" spans="4:17" x14ac:dyDescent="0.25">
      <c r="D265">
        <v>2015</v>
      </c>
      <c r="E265" s="8">
        <v>42219</v>
      </c>
      <c r="F265" s="5">
        <f t="shared" si="4"/>
        <v>215</v>
      </c>
      <c r="G265" s="9">
        <v>0.59722222222222221</v>
      </c>
      <c r="H265" s="8">
        <v>42219</v>
      </c>
      <c r="I265" s="9">
        <v>0.73333333333333339</v>
      </c>
      <c r="J265" s="10">
        <v>7</v>
      </c>
      <c r="K265" t="s">
        <v>9</v>
      </c>
      <c r="L265">
        <v>0</v>
      </c>
      <c r="M265">
        <v>0</v>
      </c>
      <c r="N265">
        <v>0</v>
      </c>
      <c r="O265">
        <v>0</v>
      </c>
      <c r="P265">
        <v>0</v>
      </c>
      <c r="Q265" s="10" t="s">
        <v>60</v>
      </c>
    </row>
    <row r="266" spans="4:17" x14ac:dyDescent="0.25">
      <c r="D266">
        <v>2015</v>
      </c>
      <c r="E266" s="8">
        <v>42219</v>
      </c>
      <c r="F266" s="5">
        <f t="shared" si="4"/>
        <v>215</v>
      </c>
      <c r="G266" s="9">
        <v>0.59722222222222221</v>
      </c>
      <c r="H266" s="8">
        <v>42219</v>
      </c>
      <c r="I266" s="9">
        <v>0.73333333333333339</v>
      </c>
      <c r="J266" s="10">
        <v>10</v>
      </c>
      <c r="K266" t="s">
        <v>9</v>
      </c>
      <c r="L266">
        <v>0</v>
      </c>
      <c r="M266">
        <v>0</v>
      </c>
      <c r="N266">
        <v>0</v>
      </c>
      <c r="O266">
        <v>0</v>
      </c>
      <c r="P266">
        <v>0</v>
      </c>
      <c r="Q266" s="10" t="s">
        <v>60</v>
      </c>
    </row>
    <row r="267" spans="4:17" x14ac:dyDescent="0.25">
      <c r="D267">
        <v>2015</v>
      </c>
      <c r="E267" s="8">
        <v>42219</v>
      </c>
      <c r="F267" s="5">
        <f t="shared" si="4"/>
        <v>215</v>
      </c>
      <c r="G267" s="9">
        <v>0.59722222222222221</v>
      </c>
      <c r="H267" s="8">
        <v>42219</v>
      </c>
      <c r="I267" s="9">
        <v>0.73333333333333339</v>
      </c>
      <c r="J267" s="10">
        <v>13</v>
      </c>
      <c r="K267" t="s">
        <v>9</v>
      </c>
      <c r="L267">
        <v>0</v>
      </c>
      <c r="M267">
        <v>0</v>
      </c>
      <c r="N267">
        <v>0</v>
      </c>
      <c r="O267">
        <v>0</v>
      </c>
      <c r="P267">
        <v>0</v>
      </c>
      <c r="Q267" s="10" t="s">
        <v>60</v>
      </c>
    </row>
    <row r="268" spans="4:17" x14ac:dyDescent="0.25">
      <c r="D268">
        <v>2015</v>
      </c>
      <c r="E268" s="8">
        <v>42220</v>
      </c>
      <c r="F268" s="5">
        <f t="shared" si="4"/>
        <v>216</v>
      </c>
      <c r="G268" s="9">
        <v>0.80625000000000002</v>
      </c>
      <c r="H268" s="8">
        <v>42221</v>
      </c>
      <c r="I268" s="9">
        <v>0.44305555555555554</v>
      </c>
      <c r="J268" s="10">
        <v>4</v>
      </c>
      <c r="K268" t="s">
        <v>9</v>
      </c>
      <c r="L268">
        <v>0</v>
      </c>
      <c r="M268">
        <v>0</v>
      </c>
      <c r="N268">
        <v>0</v>
      </c>
      <c r="O268">
        <v>0</v>
      </c>
      <c r="P268">
        <v>0</v>
      </c>
      <c r="Q268" s="10" t="s">
        <v>60</v>
      </c>
    </row>
    <row r="269" spans="4:17" x14ac:dyDescent="0.25">
      <c r="D269">
        <v>2015</v>
      </c>
      <c r="E269" s="8">
        <v>42220</v>
      </c>
      <c r="F269" s="5">
        <f t="shared" si="4"/>
        <v>216</v>
      </c>
      <c r="G269" s="9">
        <v>0.80625000000000002</v>
      </c>
      <c r="H269" s="8">
        <v>42221</v>
      </c>
      <c r="I269" s="9">
        <v>0.44305555555555554</v>
      </c>
      <c r="J269" s="10">
        <v>7</v>
      </c>
      <c r="K269" t="s">
        <v>9</v>
      </c>
      <c r="L269">
        <v>1</v>
      </c>
      <c r="M269">
        <v>1</v>
      </c>
      <c r="N269">
        <v>0</v>
      </c>
      <c r="O269">
        <v>0</v>
      </c>
      <c r="P269">
        <v>0</v>
      </c>
      <c r="Q269" s="10" t="s">
        <v>60</v>
      </c>
    </row>
    <row r="270" spans="4:17" x14ac:dyDescent="0.25">
      <c r="D270">
        <v>2015</v>
      </c>
      <c r="E270" s="8">
        <v>42220</v>
      </c>
      <c r="F270" s="5">
        <f t="shared" si="4"/>
        <v>216</v>
      </c>
      <c r="G270" s="9">
        <v>0.80625000000000002</v>
      </c>
      <c r="H270" s="8">
        <v>42221</v>
      </c>
      <c r="I270" s="9">
        <v>0.44305555555555554</v>
      </c>
      <c r="J270" s="10">
        <v>10</v>
      </c>
      <c r="K270" t="s">
        <v>9</v>
      </c>
      <c r="L270">
        <v>4</v>
      </c>
      <c r="M270">
        <v>0</v>
      </c>
      <c r="N270">
        <v>0</v>
      </c>
      <c r="O270">
        <v>0</v>
      </c>
      <c r="P270">
        <v>0</v>
      </c>
      <c r="Q270" s="10" t="s">
        <v>60</v>
      </c>
    </row>
    <row r="271" spans="4:17" x14ac:dyDescent="0.25">
      <c r="D271">
        <v>2015</v>
      </c>
      <c r="E271" s="8">
        <v>42220</v>
      </c>
      <c r="F271" s="5">
        <f t="shared" si="4"/>
        <v>216</v>
      </c>
      <c r="G271" s="9">
        <v>0.80625000000000002</v>
      </c>
      <c r="H271" s="8">
        <v>42221</v>
      </c>
      <c r="I271" s="9">
        <v>0.44305555555555554</v>
      </c>
      <c r="J271" s="10">
        <v>13</v>
      </c>
      <c r="K271" t="s">
        <v>9</v>
      </c>
      <c r="L271">
        <v>1</v>
      </c>
      <c r="M271">
        <v>0</v>
      </c>
      <c r="N271">
        <v>0</v>
      </c>
      <c r="O271">
        <v>0</v>
      </c>
      <c r="P271">
        <v>0</v>
      </c>
      <c r="Q271" s="10" t="s">
        <v>60</v>
      </c>
    </row>
    <row r="272" spans="4:17" x14ac:dyDescent="0.25">
      <c r="D272">
        <v>2015</v>
      </c>
      <c r="E272" s="8">
        <v>42222</v>
      </c>
      <c r="F272" s="5">
        <f t="shared" si="4"/>
        <v>218</v>
      </c>
      <c r="G272" s="9">
        <v>0.9916666666666667</v>
      </c>
      <c r="H272" s="8">
        <v>42223</v>
      </c>
      <c r="I272" s="9">
        <v>0.48958333333333331</v>
      </c>
      <c r="J272" s="10">
        <v>4</v>
      </c>
      <c r="K272" t="s">
        <v>9</v>
      </c>
      <c r="L272">
        <v>0</v>
      </c>
      <c r="M272">
        <v>2</v>
      </c>
      <c r="N272">
        <v>0</v>
      </c>
      <c r="O272">
        <v>0</v>
      </c>
      <c r="P272">
        <v>0</v>
      </c>
      <c r="Q272" s="10" t="s">
        <v>60</v>
      </c>
    </row>
    <row r="273" spans="4:17" x14ac:dyDescent="0.25">
      <c r="D273">
        <v>2015</v>
      </c>
      <c r="E273" s="8">
        <v>42222</v>
      </c>
      <c r="F273" s="5">
        <f t="shared" si="4"/>
        <v>218</v>
      </c>
      <c r="G273" s="9">
        <v>0.9916666666666667</v>
      </c>
      <c r="H273" s="8">
        <v>42223</v>
      </c>
      <c r="I273" s="9">
        <v>0.48958333333333331</v>
      </c>
      <c r="J273" s="10">
        <v>7</v>
      </c>
      <c r="K273" t="s">
        <v>9</v>
      </c>
      <c r="L273">
        <v>4</v>
      </c>
      <c r="M273">
        <v>0</v>
      </c>
      <c r="N273">
        <v>0</v>
      </c>
      <c r="O273">
        <v>0</v>
      </c>
      <c r="P273">
        <v>0</v>
      </c>
      <c r="Q273" s="10" t="s">
        <v>60</v>
      </c>
    </row>
    <row r="274" spans="4:17" x14ac:dyDescent="0.25">
      <c r="D274">
        <v>2015</v>
      </c>
      <c r="E274" s="8">
        <v>42222</v>
      </c>
      <c r="F274" s="5">
        <f t="shared" si="4"/>
        <v>218</v>
      </c>
      <c r="G274" s="9">
        <v>0.9916666666666667</v>
      </c>
      <c r="H274" s="8">
        <v>42223</v>
      </c>
      <c r="I274" s="9">
        <v>0.48958333333333331</v>
      </c>
      <c r="J274" s="10">
        <v>10</v>
      </c>
      <c r="K274" t="s">
        <v>9</v>
      </c>
      <c r="L274">
        <v>3</v>
      </c>
      <c r="M274">
        <v>0</v>
      </c>
      <c r="N274">
        <v>0</v>
      </c>
      <c r="O274">
        <v>0</v>
      </c>
      <c r="P274">
        <v>0</v>
      </c>
      <c r="Q274" s="10" t="s">
        <v>60</v>
      </c>
    </row>
    <row r="275" spans="4:17" x14ac:dyDescent="0.25">
      <c r="D275">
        <v>2015</v>
      </c>
      <c r="E275" s="8">
        <v>42222</v>
      </c>
      <c r="F275" s="5">
        <f t="shared" si="4"/>
        <v>218</v>
      </c>
      <c r="G275" s="9">
        <v>0.9916666666666667</v>
      </c>
      <c r="H275" s="8">
        <v>42223</v>
      </c>
      <c r="I275" s="9">
        <v>0.48958333333333331</v>
      </c>
      <c r="J275" s="10">
        <v>13</v>
      </c>
      <c r="K275" t="s">
        <v>9</v>
      </c>
      <c r="L275">
        <v>0</v>
      </c>
      <c r="M275">
        <v>0</v>
      </c>
      <c r="N275">
        <v>0</v>
      </c>
      <c r="O275">
        <v>0</v>
      </c>
      <c r="P275">
        <v>0</v>
      </c>
      <c r="Q275" s="10" t="s">
        <v>60</v>
      </c>
    </row>
    <row r="276" spans="4:17" x14ac:dyDescent="0.25">
      <c r="D276">
        <v>2015</v>
      </c>
      <c r="E276" s="8">
        <v>42225</v>
      </c>
      <c r="F276" s="5">
        <f t="shared" si="4"/>
        <v>221</v>
      </c>
      <c r="G276" s="9">
        <v>0.92083333333333339</v>
      </c>
      <c r="H276" s="8">
        <v>42226</v>
      </c>
      <c r="I276" s="9">
        <v>0.4861111111111111</v>
      </c>
      <c r="J276" s="10">
        <v>1</v>
      </c>
      <c r="K276" t="s">
        <v>9</v>
      </c>
      <c r="L276">
        <v>2</v>
      </c>
      <c r="M276">
        <v>3</v>
      </c>
      <c r="N276">
        <v>0</v>
      </c>
      <c r="O276">
        <v>0</v>
      </c>
      <c r="P276">
        <v>0</v>
      </c>
      <c r="Q276" s="10" t="s">
        <v>60</v>
      </c>
    </row>
    <row r="277" spans="4:17" x14ac:dyDescent="0.25">
      <c r="D277">
        <v>2015</v>
      </c>
      <c r="E277" s="8">
        <v>42225</v>
      </c>
      <c r="F277" s="5">
        <f t="shared" si="4"/>
        <v>221</v>
      </c>
      <c r="G277" s="9">
        <v>0.92083333333333339</v>
      </c>
      <c r="H277" s="8">
        <v>42226</v>
      </c>
      <c r="I277" s="9">
        <v>0.4861111111111111</v>
      </c>
      <c r="J277" s="10">
        <v>4</v>
      </c>
      <c r="K277" t="s">
        <v>9</v>
      </c>
      <c r="L277">
        <v>1</v>
      </c>
      <c r="M277">
        <v>3</v>
      </c>
      <c r="N277">
        <v>0</v>
      </c>
      <c r="O277">
        <v>0</v>
      </c>
      <c r="P277">
        <v>0</v>
      </c>
      <c r="Q277" s="10" t="s">
        <v>60</v>
      </c>
    </row>
    <row r="278" spans="4:17" x14ac:dyDescent="0.25">
      <c r="D278">
        <v>2015</v>
      </c>
      <c r="E278" s="8">
        <v>42225</v>
      </c>
      <c r="F278" s="5">
        <f t="shared" si="4"/>
        <v>221</v>
      </c>
      <c r="G278" s="9">
        <v>0.92083333333333339</v>
      </c>
      <c r="H278" s="8">
        <v>42226</v>
      </c>
      <c r="I278" s="9">
        <v>0.4861111111111111</v>
      </c>
      <c r="J278" s="10">
        <v>7</v>
      </c>
      <c r="K278" t="s">
        <v>9</v>
      </c>
      <c r="L278">
        <v>7</v>
      </c>
      <c r="M278">
        <v>0</v>
      </c>
      <c r="N278">
        <v>0</v>
      </c>
      <c r="O278">
        <v>0</v>
      </c>
      <c r="P278">
        <v>0</v>
      </c>
      <c r="Q278" s="10" t="s">
        <v>60</v>
      </c>
    </row>
    <row r="279" spans="4:17" x14ac:dyDescent="0.25">
      <c r="D279">
        <v>2015</v>
      </c>
      <c r="E279" s="8">
        <v>42225</v>
      </c>
      <c r="F279" s="5">
        <f t="shared" si="4"/>
        <v>221</v>
      </c>
      <c r="G279" s="9">
        <v>0.92083333333333339</v>
      </c>
      <c r="H279" s="8">
        <v>42226</v>
      </c>
      <c r="I279" s="9">
        <v>0.4861111111111111</v>
      </c>
      <c r="J279" s="10">
        <v>10</v>
      </c>
      <c r="K279" t="s">
        <v>9</v>
      </c>
      <c r="L279">
        <v>64</v>
      </c>
      <c r="M279">
        <v>0</v>
      </c>
      <c r="N279">
        <v>0</v>
      </c>
      <c r="O279">
        <v>0</v>
      </c>
      <c r="P279">
        <v>0</v>
      </c>
      <c r="Q279" s="10" t="s">
        <v>60</v>
      </c>
    </row>
    <row r="280" spans="4:17" x14ac:dyDescent="0.25">
      <c r="D280">
        <v>2015</v>
      </c>
      <c r="E280" s="8">
        <v>42225</v>
      </c>
      <c r="F280" s="5">
        <f t="shared" si="4"/>
        <v>221</v>
      </c>
      <c r="G280" s="9">
        <v>0.92083333333333339</v>
      </c>
      <c r="H280" s="8">
        <v>42226</v>
      </c>
      <c r="I280" s="9">
        <v>0.4861111111111111</v>
      </c>
      <c r="J280" s="10">
        <v>13</v>
      </c>
      <c r="K280" t="s">
        <v>9</v>
      </c>
      <c r="L280">
        <v>4</v>
      </c>
      <c r="M280">
        <v>1</v>
      </c>
      <c r="N280">
        <v>0</v>
      </c>
      <c r="O280">
        <v>0</v>
      </c>
      <c r="P280">
        <v>0</v>
      </c>
      <c r="Q280" s="10" t="s">
        <v>60</v>
      </c>
    </row>
    <row r="281" spans="4:17" x14ac:dyDescent="0.25">
      <c r="D281">
        <v>2015</v>
      </c>
      <c r="E281" s="8">
        <v>42219</v>
      </c>
      <c r="F281" s="5">
        <f t="shared" si="4"/>
        <v>215</v>
      </c>
      <c r="G281" s="9">
        <v>0.59722222222222221</v>
      </c>
      <c r="H281" s="8">
        <v>42219</v>
      </c>
      <c r="I281" s="9">
        <v>0.73333333333333339</v>
      </c>
      <c r="J281" s="10">
        <v>3</v>
      </c>
      <c r="K281" t="s">
        <v>7</v>
      </c>
      <c r="L281">
        <v>0</v>
      </c>
      <c r="M281">
        <v>2</v>
      </c>
      <c r="N281">
        <v>0</v>
      </c>
      <c r="O281">
        <v>0</v>
      </c>
      <c r="P281">
        <v>0</v>
      </c>
      <c r="Q281" s="10" t="s">
        <v>60</v>
      </c>
    </row>
    <row r="282" spans="4:17" x14ac:dyDescent="0.25">
      <c r="D282">
        <v>2015</v>
      </c>
      <c r="E282" s="8">
        <v>42219</v>
      </c>
      <c r="F282" s="5">
        <f t="shared" si="4"/>
        <v>215</v>
      </c>
      <c r="G282" s="9">
        <v>0.59722222222222221</v>
      </c>
      <c r="H282" s="8">
        <v>42219</v>
      </c>
      <c r="I282" s="9">
        <v>0.73333333333333339</v>
      </c>
      <c r="J282" s="10">
        <v>6</v>
      </c>
      <c r="K282" t="s">
        <v>7</v>
      </c>
      <c r="L282">
        <v>5</v>
      </c>
      <c r="M282">
        <v>0</v>
      </c>
      <c r="N282">
        <v>0</v>
      </c>
      <c r="O282">
        <v>0</v>
      </c>
      <c r="P282">
        <v>0</v>
      </c>
      <c r="Q282" s="10" t="s">
        <v>60</v>
      </c>
    </row>
    <row r="283" spans="4:17" x14ac:dyDescent="0.25">
      <c r="D283">
        <v>2015</v>
      </c>
      <c r="E283" s="8">
        <v>42219</v>
      </c>
      <c r="F283" s="5">
        <f t="shared" si="4"/>
        <v>215</v>
      </c>
      <c r="G283" s="9">
        <v>0.59722222222222221</v>
      </c>
      <c r="H283" s="8">
        <v>42219</v>
      </c>
      <c r="I283" s="9">
        <v>0.73333333333333339</v>
      </c>
      <c r="J283" s="10">
        <v>9</v>
      </c>
      <c r="K283" t="s">
        <v>7</v>
      </c>
      <c r="L283">
        <v>5</v>
      </c>
      <c r="M283">
        <v>0</v>
      </c>
      <c r="N283">
        <v>0</v>
      </c>
      <c r="O283">
        <v>0</v>
      </c>
      <c r="P283">
        <v>0</v>
      </c>
      <c r="Q283" s="10" t="s">
        <v>60</v>
      </c>
    </row>
    <row r="284" spans="4:17" x14ac:dyDescent="0.25">
      <c r="D284">
        <v>2015</v>
      </c>
      <c r="E284" s="8">
        <v>42219</v>
      </c>
      <c r="F284" s="5">
        <f t="shared" si="4"/>
        <v>215</v>
      </c>
      <c r="G284" s="9">
        <v>0.59722222222222221</v>
      </c>
      <c r="H284" s="8">
        <v>42219</v>
      </c>
      <c r="I284" s="9">
        <v>0.73333333333333339</v>
      </c>
      <c r="J284" s="10">
        <v>12</v>
      </c>
      <c r="K284" t="s">
        <v>7</v>
      </c>
      <c r="L284">
        <v>5</v>
      </c>
      <c r="M284">
        <v>1</v>
      </c>
      <c r="N284">
        <v>0</v>
      </c>
      <c r="O284">
        <v>0</v>
      </c>
      <c r="P284">
        <v>0</v>
      </c>
      <c r="Q284" s="10" t="s">
        <v>60</v>
      </c>
    </row>
    <row r="285" spans="4:17" x14ac:dyDescent="0.25">
      <c r="D285">
        <v>2015</v>
      </c>
      <c r="E285" s="8">
        <v>42219</v>
      </c>
      <c r="F285" s="5">
        <f t="shared" si="4"/>
        <v>215</v>
      </c>
      <c r="G285" s="9">
        <v>0.59722222222222221</v>
      </c>
      <c r="H285" s="8">
        <v>42219</v>
      </c>
      <c r="I285" s="9">
        <v>0.73333333333333339</v>
      </c>
      <c r="J285" s="10">
        <v>15</v>
      </c>
      <c r="K285" t="s">
        <v>7</v>
      </c>
      <c r="L285">
        <v>3</v>
      </c>
      <c r="M285">
        <v>0</v>
      </c>
      <c r="N285">
        <v>0</v>
      </c>
      <c r="O285">
        <v>0</v>
      </c>
      <c r="P285">
        <v>0</v>
      </c>
      <c r="Q285" s="10" t="s">
        <v>60</v>
      </c>
    </row>
    <row r="286" spans="4:17" x14ac:dyDescent="0.25">
      <c r="D286">
        <v>2015</v>
      </c>
      <c r="E286" s="8">
        <v>42220</v>
      </c>
      <c r="F286" s="5">
        <f t="shared" si="4"/>
        <v>216</v>
      </c>
      <c r="G286" s="9">
        <v>0.80625000000000002</v>
      </c>
      <c r="H286" s="8">
        <v>42221</v>
      </c>
      <c r="I286" s="9">
        <v>0.44305555555555554</v>
      </c>
      <c r="J286" s="10">
        <v>3</v>
      </c>
      <c r="K286" t="s">
        <v>7</v>
      </c>
      <c r="L286">
        <v>21</v>
      </c>
      <c r="M286">
        <v>8</v>
      </c>
      <c r="N286">
        <v>0</v>
      </c>
      <c r="O286">
        <v>1</v>
      </c>
      <c r="P286">
        <v>0</v>
      </c>
      <c r="Q286" s="10" t="s">
        <v>60</v>
      </c>
    </row>
    <row r="287" spans="4:17" x14ac:dyDescent="0.25">
      <c r="D287">
        <v>2015</v>
      </c>
      <c r="E287" s="8">
        <v>42220</v>
      </c>
      <c r="F287" s="5">
        <f t="shared" si="4"/>
        <v>216</v>
      </c>
      <c r="G287" s="9">
        <v>0.80625000000000002</v>
      </c>
      <c r="H287" s="8">
        <v>42221</v>
      </c>
      <c r="I287" s="9">
        <v>0.44305555555555554</v>
      </c>
      <c r="J287" s="10">
        <v>6</v>
      </c>
      <c r="K287" t="s">
        <v>7</v>
      </c>
      <c r="L287">
        <v>13</v>
      </c>
      <c r="M287">
        <v>1</v>
      </c>
      <c r="N287">
        <v>0</v>
      </c>
      <c r="O287">
        <v>0</v>
      </c>
      <c r="P287">
        <v>0</v>
      </c>
      <c r="Q287" s="10" t="s">
        <v>60</v>
      </c>
    </row>
    <row r="288" spans="4:17" x14ac:dyDescent="0.25">
      <c r="D288">
        <v>2015</v>
      </c>
      <c r="E288" s="8">
        <v>42220</v>
      </c>
      <c r="F288" s="5">
        <f t="shared" si="4"/>
        <v>216</v>
      </c>
      <c r="G288" s="9">
        <v>0.80625000000000002</v>
      </c>
      <c r="H288" s="8">
        <v>42221</v>
      </c>
      <c r="I288" s="9">
        <v>0.44305555555555554</v>
      </c>
      <c r="J288" s="10">
        <v>9</v>
      </c>
      <c r="K288" t="s">
        <v>7</v>
      </c>
      <c r="L288">
        <v>105</v>
      </c>
      <c r="M288">
        <v>0</v>
      </c>
      <c r="N288">
        <v>0</v>
      </c>
      <c r="O288">
        <v>0</v>
      </c>
      <c r="P288">
        <v>0</v>
      </c>
      <c r="Q288" s="10" t="s">
        <v>60</v>
      </c>
    </row>
    <row r="289" spans="4:17" x14ac:dyDescent="0.25">
      <c r="D289">
        <v>2015</v>
      </c>
      <c r="E289" s="8">
        <v>42220</v>
      </c>
      <c r="F289" s="5">
        <f t="shared" si="4"/>
        <v>216</v>
      </c>
      <c r="G289" s="9">
        <v>0.80625000000000002</v>
      </c>
      <c r="H289" s="8">
        <v>42221</v>
      </c>
      <c r="I289" s="9">
        <v>0.44305555555555554</v>
      </c>
      <c r="J289" s="10">
        <v>12</v>
      </c>
      <c r="K289" t="s">
        <v>7</v>
      </c>
      <c r="L289">
        <v>17</v>
      </c>
      <c r="M289">
        <v>0</v>
      </c>
      <c r="N289">
        <v>0</v>
      </c>
      <c r="O289">
        <v>1</v>
      </c>
      <c r="P289">
        <v>0</v>
      </c>
      <c r="Q289" s="10" t="s">
        <v>60</v>
      </c>
    </row>
    <row r="290" spans="4:17" x14ac:dyDescent="0.25">
      <c r="D290">
        <v>2015</v>
      </c>
      <c r="E290" s="8">
        <v>42220</v>
      </c>
      <c r="F290" s="5">
        <f t="shared" si="4"/>
        <v>216</v>
      </c>
      <c r="G290" s="9">
        <v>0.80625000000000002</v>
      </c>
      <c r="H290" s="8">
        <v>42221</v>
      </c>
      <c r="I290" s="9">
        <v>0.44305555555555554</v>
      </c>
      <c r="J290" s="10">
        <v>15</v>
      </c>
      <c r="K290" t="s">
        <v>7</v>
      </c>
      <c r="L290">
        <v>6</v>
      </c>
      <c r="M290">
        <v>0</v>
      </c>
      <c r="N290">
        <v>0</v>
      </c>
      <c r="O290">
        <v>0</v>
      </c>
      <c r="P290">
        <v>0</v>
      </c>
      <c r="Q290" s="10" t="s">
        <v>60</v>
      </c>
    </row>
    <row r="291" spans="4:17" x14ac:dyDescent="0.25">
      <c r="D291">
        <v>2015</v>
      </c>
      <c r="E291" s="8">
        <v>42222</v>
      </c>
      <c r="F291" s="5">
        <f t="shared" si="4"/>
        <v>218</v>
      </c>
      <c r="G291" s="9">
        <v>0.9916666666666667</v>
      </c>
      <c r="H291" s="8">
        <v>42223</v>
      </c>
      <c r="I291" s="9">
        <v>0.48958333333333331</v>
      </c>
      <c r="J291" s="10">
        <v>3</v>
      </c>
      <c r="K291" t="s">
        <v>7</v>
      </c>
      <c r="L291">
        <v>5</v>
      </c>
      <c r="M291">
        <v>0</v>
      </c>
      <c r="N291">
        <v>0</v>
      </c>
      <c r="O291">
        <v>0</v>
      </c>
      <c r="P291">
        <v>0</v>
      </c>
      <c r="Q291" s="10" t="s">
        <v>60</v>
      </c>
    </row>
    <row r="292" spans="4:17" x14ac:dyDescent="0.25">
      <c r="D292">
        <v>2015</v>
      </c>
      <c r="E292" s="8">
        <v>42222</v>
      </c>
      <c r="F292" s="5">
        <f t="shared" si="4"/>
        <v>218</v>
      </c>
      <c r="G292" s="9">
        <v>0.9916666666666667</v>
      </c>
      <c r="H292" s="8">
        <v>42223</v>
      </c>
      <c r="I292" s="9">
        <v>0.48958333333333331</v>
      </c>
      <c r="J292" s="10">
        <v>6</v>
      </c>
      <c r="K292" t="s">
        <v>7</v>
      </c>
      <c r="L292">
        <v>6</v>
      </c>
      <c r="M292">
        <v>0</v>
      </c>
      <c r="N292">
        <v>0</v>
      </c>
      <c r="O292">
        <v>0</v>
      </c>
      <c r="P292">
        <v>0</v>
      </c>
      <c r="Q292" s="10" t="s">
        <v>60</v>
      </c>
    </row>
    <row r="293" spans="4:17" x14ac:dyDescent="0.25">
      <c r="D293">
        <v>2015</v>
      </c>
      <c r="E293" s="8">
        <v>42222</v>
      </c>
      <c r="F293" s="5">
        <f t="shared" si="4"/>
        <v>218</v>
      </c>
      <c r="G293" s="9">
        <v>0.9916666666666667</v>
      </c>
      <c r="H293" s="8">
        <v>42223</v>
      </c>
      <c r="I293" s="9">
        <v>0.48958333333333331</v>
      </c>
      <c r="J293" s="10">
        <v>9</v>
      </c>
      <c r="K293" t="s">
        <v>7</v>
      </c>
      <c r="L293">
        <v>73</v>
      </c>
      <c r="M293">
        <v>0</v>
      </c>
      <c r="N293">
        <v>0</v>
      </c>
      <c r="O293">
        <v>0</v>
      </c>
      <c r="P293">
        <v>0</v>
      </c>
      <c r="Q293" s="10" t="s">
        <v>60</v>
      </c>
    </row>
    <row r="294" spans="4:17" x14ac:dyDescent="0.25">
      <c r="D294">
        <v>2015</v>
      </c>
      <c r="E294" s="8">
        <v>42222</v>
      </c>
      <c r="F294" s="5">
        <f t="shared" si="4"/>
        <v>218</v>
      </c>
      <c r="G294" s="9">
        <v>0.9916666666666667</v>
      </c>
      <c r="H294" s="8">
        <v>42223</v>
      </c>
      <c r="I294" s="9">
        <v>0.48958333333333331</v>
      </c>
      <c r="J294" s="10">
        <v>12</v>
      </c>
      <c r="K294" t="s">
        <v>7</v>
      </c>
      <c r="L294">
        <v>19</v>
      </c>
      <c r="M294">
        <v>1</v>
      </c>
      <c r="N294">
        <v>0</v>
      </c>
      <c r="O294">
        <v>1</v>
      </c>
      <c r="P294">
        <v>0</v>
      </c>
      <c r="Q294" s="10" t="s">
        <v>60</v>
      </c>
    </row>
    <row r="295" spans="4:17" x14ac:dyDescent="0.25">
      <c r="D295">
        <v>2015</v>
      </c>
      <c r="E295" s="8">
        <v>42222</v>
      </c>
      <c r="F295" s="5">
        <f t="shared" si="4"/>
        <v>218</v>
      </c>
      <c r="G295" s="9">
        <v>0.9916666666666667</v>
      </c>
      <c r="H295" s="8">
        <v>42223</v>
      </c>
      <c r="I295" s="9">
        <v>0.48958333333333331</v>
      </c>
      <c r="J295" s="10">
        <v>15</v>
      </c>
      <c r="K295" t="s">
        <v>7</v>
      </c>
      <c r="L295">
        <v>6</v>
      </c>
      <c r="M295">
        <v>0</v>
      </c>
      <c r="N295">
        <v>0</v>
      </c>
      <c r="O295">
        <v>0</v>
      </c>
      <c r="P295">
        <v>0</v>
      </c>
      <c r="Q295" s="10" t="s">
        <v>60</v>
      </c>
    </row>
    <row r="296" spans="4:17" x14ac:dyDescent="0.25">
      <c r="D296">
        <v>2015</v>
      </c>
      <c r="E296" s="8">
        <v>42225</v>
      </c>
      <c r="F296" s="5">
        <f t="shared" si="4"/>
        <v>221</v>
      </c>
      <c r="G296" s="9">
        <v>0.92083333333333339</v>
      </c>
      <c r="H296" s="8">
        <v>42226</v>
      </c>
      <c r="I296" s="9">
        <v>0.4861111111111111</v>
      </c>
      <c r="J296" s="10">
        <v>3</v>
      </c>
      <c r="K296" t="s">
        <v>7</v>
      </c>
      <c r="L296">
        <v>0</v>
      </c>
      <c r="M296">
        <v>0</v>
      </c>
      <c r="N296">
        <v>0</v>
      </c>
      <c r="O296">
        <v>0</v>
      </c>
      <c r="P296">
        <v>0</v>
      </c>
      <c r="Q296" s="10" t="s">
        <v>60</v>
      </c>
    </row>
    <row r="297" spans="4:17" x14ac:dyDescent="0.25">
      <c r="D297">
        <v>2015</v>
      </c>
      <c r="E297" s="8">
        <v>42225</v>
      </c>
      <c r="F297" s="5">
        <f t="shared" si="4"/>
        <v>221</v>
      </c>
      <c r="G297" s="9">
        <v>0.92083333333333339</v>
      </c>
      <c r="H297" s="8">
        <v>42226</v>
      </c>
      <c r="I297" s="9">
        <v>0.4861111111111111</v>
      </c>
      <c r="J297" s="10">
        <v>6</v>
      </c>
      <c r="K297" t="s">
        <v>7</v>
      </c>
      <c r="L297">
        <v>4</v>
      </c>
      <c r="M297">
        <v>0</v>
      </c>
      <c r="N297">
        <v>0</v>
      </c>
      <c r="O297">
        <v>0</v>
      </c>
      <c r="P297">
        <v>0</v>
      </c>
      <c r="Q297" s="10" t="s">
        <v>60</v>
      </c>
    </row>
    <row r="298" spans="4:17" x14ac:dyDescent="0.25">
      <c r="D298">
        <v>2015</v>
      </c>
      <c r="E298" s="8">
        <v>42225</v>
      </c>
      <c r="F298" s="5">
        <f t="shared" si="4"/>
        <v>221</v>
      </c>
      <c r="G298" s="9">
        <v>0.92083333333333339</v>
      </c>
      <c r="H298" s="8">
        <v>42226</v>
      </c>
      <c r="I298" s="9">
        <v>0.4861111111111111</v>
      </c>
      <c r="J298" s="10">
        <v>9</v>
      </c>
      <c r="K298" t="s">
        <v>7</v>
      </c>
      <c r="L298">
        <v>8</v>
      </c>
      <c r="M298">
        <v>0</v>
      </c>
      <c r="N298">
        <v>0</v>
      </c>
      <c r="O298">
        <v>0</v>
      </c>
      <c r="P298">
        <v>0</v>
      </c>
      <c r="Q298" s="10" t="s">
        <v>60</v>
      </c>
    </row>
    <row r="299" spans="4:17" x14ac:dyDescent="0.25">
      <c r="D299">
        <v>2015</v>
      </c>
      <c r="E299" s="8">
        <v>42225</v>
      </c>
      <c r="F299" s="5">
        <f t="shared" si="4"/>
        <v>221</v>
      </c>
      <c r="G299" s="9">
        <v>0.92083333333333339</v>
      </c>
      <c r="H299" s="8">
        <v>42226</v>
      </c>
      <c r="I299" s="9">
        <v>0.4861111111111111</v>
      </c>
      <c r="J299" s="10">
        <v>12</v>
      </c>
      <c r="K299" t="s">
        <v>7</v>
      </c>
      <c r="L299">
        <v>8</v>
      </c>
      <c r="M299">
        <v>3</v>
      </c>
      <c r="N299">
        <v>0</v>
      </c>
      <c r="O299">
        <v>0</v>
      </c>
      <c r="P299">
        <v>0</v>
      </c>
      <c r="Q299" s="10" t="s">
        <v>60</v>
      </c>
    </row>
    <row r="300" spans="4:17" x14ac:dyDescent="0.25">
      <c r="D300">
        <v>2015</v>
      </c>
      <c r="E300" s="8">
        <v>42225</v>
      </c>
      <c r="F300" s="5">
        <f t="shared" si="4"/>
        <v>221</v>
      </c>
      <c r="G300" s="9">
        <v>0.92083333333333295</v>
      </c>
      <c r="H300" s="8">
        <v>42226</v>
      </c>
      <c r="I300" s="9">
        <v>0.48611111111111099</v>
      </c>
      <c r="J300" s="10">
        <v>15</v>
      </c>
      <c r="K300" t="s">
        <v>7</v>
      </c>
      <c r="L300">
        <v>1</v>
      </c>
      <c r="M300">
        <v>1</v>
      </c>
      <c r="N300">
        <v>0</v>
      </c>
      <c r="O300">
        <v>0</v>
      </c>
      <c r="P300">
        <v>0</v>
      </c>
      <c r="Q300" s="10" t="s">
        <v>60</v>
      </c>
    </row>
  </sheetData>
  <sortState xmlns:xlrd2="http://schemas.microsoft.com/office/spreadsheetml/2017/richdata2" ref="A2:R310">
    <sortCondition ref="Q2:Q310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4DC7-0A3E-4844-9C4C-9804D0812CA8}">
  <dimension ref="A3:R30"/>
  <sheetViews>
    <sheetView topLeftCell="H1" workbookViewId="0">
      <selection activeCell="Y35" sqref="Y35"/>
    </sheetView>
  </sheetViews>
  <sheetFormatPr defaultRowHeight="15.75" x14ac:dyDescent="0.25"/>
  <cols>
    <col min="1" max="1" width="12.375" bestFit="1" customWidth="1"/>
    <col min="2" max="2" width="15.25" bestFit="1" customWidth="1"/>
    <col min="3" max="3" width="13.625" bestFit="1" customWidth="1"/>
    <col min="4" max="4" width="19.25" bestFit="1" customWidth="1"/>
    <col min="5" max="5" width="13.5" bestFit="1" customWidth="1"/>
    <col min="6" max="6" width="13.625" bestFit="1" customWidth="1"/>
    <col min="7" max="7" width="19.25" bestFit="1" customWidth="1"/>
    <col min="8" max="8" width="18.5" bestFit="1" customWidth="1"/>
    <col min="9" max="9" width="18.625" bestFit="1" customWidth="1"/>
    <col min="10" max="10" width="24.25" bestFit="1" customWidth="1"/>
    <col min="11" max="11" width="18.5" bestFit="1" customWidth="1"/>
    <col min="12" max="12" width="18.625" bestFit="1" customWidth="1"/>
    <col min="13" max="13" width="24.25" bestFit="1" customWidth="1"/>
  </cols>
  <sheetData>
    <row r="3" spans="1:18" x14ac:dyDescent="0.25">
      <c r="B3" s="3" t="s">
        <v>33</v>
      </c>
      <c r="N3" t="s">
        <v>7</v>
      </c>
      <c r="O3" t="s">
        <v>8</v>
      </c>
      <c r="P3" t="s">
        <v>10</v>
      </c>
      <c r="Q3" t="s">
        <v>9</v>
      </c>
      <c r="R3" t="s">
        <v>54</v>
      </c>
    </row>
    <row r="4" spans="1:18" x14ac:dyDescent="0.25">
      <c r="B4">
        <v>2020</v>
      </c>
      <c r="E4">
        <v>2025</v>
      </c>
      <c r="H4" t="s">
        <v>46</v>
      </c>
      <c r="I4" t="s">
        <v>47</v>
      </c>
      <c r="J4" t="s">
        <v>48</v>
      </c>
      <c r="L4">
        <v>2015</v>
      </c>
      <c r="M4" t="s">
        <v>2</v>
      </c>
      <c r="N4">
        <v>432</v>
      </c>
      <c r="P4">
        <v>34</v>
      </c>
      <c r="Q4">
        <v>90</v>
      </c>
      <c r="R4">
        <f>SUM(N4:Q4)</f>
        <v>556</v>
      </c>
    </row>
    <row r="5" spans="1:18" x14ac:dyDescent="0.25">
      <c r="A5" s="3" t="s">
        <v>31</v>
      </c>
      <c r="B5" t="s">
        <v>35</v>
      </c>
      <c r="C5" t="s">
        <v>34</v>
      </c>
      <c r="D5" t="s">
        <v>49</v>
      </c>
      <c r="E5" t="s">
        <v>35</v>
      </c>
      <c r="F5" t="s">
        <v>34</v>
      </c>
      <c r="G5" t="s">
        <v>49</v>
      </c>
      <c r="M5" t="s">
        <v>55</v>
      </c>
      <c r="N5">
        <v>76</v>
      </c>
      <c r="P5">
        <v>36</v>
      </c>
      <c r="Q5">
        <v>30</v>
      </c>
      <c r="R5">
        <f t="shared" ref="R5:R15" si="0">SUM(N5:Q5)</f>
        <v>142</v>
      </c>
    </row>
    <row r="6" spans="1:18" x14ac:dyDescent="0.25">
      <c r="A6" s="4" t="s">
        <v>10</v>
      </c>
      <c r="B6">
        <v>112</v>
      </c>
      <c r="C6">
        <v>151</v>
      </c>
      <c r="D6">
        <v>30</v>
      </c>
      <c r="E6">
        <v>10</v>
      </c>
      <c r="F6">
        <v>29</v>
      </c>
      <c r="G6">
        <v>20</v>
      </c>
      <c r="H6">
        <v>122</v>
      </c>
      <c r="I6">
        <v>180</v>
      </c>
      <c r="J6">
        <v>50</v>
      </c>
      <c r="M6" t="s">
        <v>50</v>
      </c>
      <c r="N6">
        <v>35</v>
      </c>
      <c r="P6">
        <v>35</v>
      </c>
      <c r="Q6">
        <v>35</v>
      </c>
      <c r="R6">
        <f t="shared" si="0"/>
        <v>105</v>
      </c>
    </row>
    <row r="7" spans="1:18" x14ac:dyDescent="0.25">
      <c r="A7" s="4" t="s">
        <v>9</v>
      </c>
      <c r="B7">
        <v>44</v>
      </c>
      <c r="C7">
        <v>74</v>
      </c>
      <c r="D7">
        <v>30</v>
      </c>
      <c r="E7">
        <v>9</v>
      </c>
      <c r="F7">
        <v>15</v>
      </c>
      <c r="G7">
        <v>19</v>
      </c>
      <c r="H7">
        <v>53</v>
      </c>
      <c r="I7">
        <v>89</v>
      </c>
      <c r="J7">
        <v>49</v>
      </c>
      <c r="L7">
        <v>2020</v>
      </c>
      <c r="M7" t="s">
        <v>2</v>
      </c>
      <c r="N7">
        <v>1152</v>
      </c>
      <c r="O7">
        <v>216</v>
      </c>
      <c r="P7">
        <v>112</v>
      </c>
      <c r="Q7">
        <v>44</v>
      </c>
      <c r="R7">
        <f t="shared" si="0"/>
        <v>1524</v>
      </c>
    </row>
    <row r="8" spans="1:18" x14ac:dyDescent="0.25">
      <c r="A8" s="4" t="s">
        <v>7</v>
      </c>
      <c r="B8">
        <v>1152</v>
      </c>
      <c r="C8">
        <v>228</v>
      </c>
      <c r="D8">
        <v>29</v>
      </c>
      <c r="E8">
        <v>239</v>
      </c>
      <c r="F8">
        <v>17</v>
      </c>
      <c r="G8">
        <v>18</v>
      </c>
      <c r="H8">
        <v>1391</v>
      </c>
      <c r="I8">
        <v>245</v>
      </c>
      <c r="J8">
        <v>47</v>
      </c>
      <c r="M8" t="s">
        <v>55</v>
      </c>
      <c r="N8">
        <v>228</v>
      </c>
      <c r="O8">
        <v>142</v>
      </c>
      <c r="P8">
        <v>151</v>
      </c>
      <c r="Q8">
        <v>74</v>
      </c>
      <c r="R8">
        <f t="shared" si="0"/>
        <v>595</v>
      </c>
    </row>
    <row r="9" spans="1:18" x14ac:dyDescent="0.25">
      <c r="A9" s="4" t="s">
        <v>8</v>
      </c>
      <c r="B9">
        <v>216</v>
      </c>
      <c r="C9">
        <v>142</v>
      </c>
      <c r="D9">
        <v>31</v>
      </c>
      <c r="E9">
        <v>18</v>
      </c>
      <c r="F9">
        <v>17</v>
      </c>
      <c r="G9">
        <v>20</v>
      </c>
      <c r="H9">
        <v>234</v>
      </c>
      <c r="I9">
        <v>159</v>
      </c>
      <c r="J9">
        <v>51</v>
      </c>
      <c r="M9" t="s">
        <v>50</v>
      </c>
      <c r="N9">
        <v>29</v>
      </c>
      <c r="O9">
        <v>31</v>
      </c>
      <c r="P9">
        <v>30</v>
      </c>
      <c r="Q9">
        <v>30</v>
      </c>
      <c r="R9">
        <f t="shared" si="0"/>
        <v>120</v>
      </c>
    </row>
    <row r="10" spans="1:18" x14ac:dyDescent="0.25">
      <c r="A10" s="4" t="s">
        <v>32</v>
      </c>
      <c r="B10">
        <v>1524</v>
      </c>
      <c r="C10">
        <v>595</v>
      </c>
      <c r="D10">
        <v>120</v>
      </c>
      <c r="E10">
        <v>276</v>
      </c>
      <c r="F10">
        <v>78</v>
      </c>
      <c r="G10">
        <v>77</v>
      </c>
      <c r="H10">
        <v>1800</v>
      </c>
      <c r="I10">
        <v>673</v>
      </c>
      <c r="J10">
        <v>197</v>
      </c>
      <c r="L10">
        <v>2025</v>
      </c>
      <c r="M10" t="s">
        <v>2</v>
      </c>
      <c r="N10">
        <v>239</v>
      </c>
      <c r="O10">
        <v>18</v>
      </c>
      <c r="P10">
        <v>10</v>
      </c>
      <c r="Q10">
        <v>9</v>
      </c>
      <c r="R10">
        <f t="shared" si="0"/>
        <v>276</v>
      </c>
    </row>
    <row r="11" spans="1:18" x14ac:dyDescent="0.25">
      <c r="M11" t="s">
        <v>55</v>
      </c>
      <c r="N11">
        <v>17</v>
      </c>
      <c r="O11">
        <v>17</v>
      </c>
      <c r="P11">
        <v>29</v>
      </c>
      <c r="Q11">
        <v>15</v>
      </c>
      <c r="R11">
        <f t="shared" si="0"/>
        <v>78</v>
      </c>
    </row>
    <row r="12" spans="1:18" x14ac:dyDescent="0.25">
      <c r="M12" t="s">
        <v>50</v>
      </c>
      <c r="N12">
        <v>18</v>
      </c>
      <c r="O12">
        <v>20</v>
      </c>
      <c r="P12">
        <v>20</v>
      </c>
      <c r="Q12">
        <v>19</v>
      </c>
      <c r="R12">
        <f t="shared" si="0"/>
        <v>77</v>
      </c>
    </row>
    <row r="13" spans="1:18" x14ac:dyDescent="0.25">
      <c r="L13" s="6" t="s">
        <v>54</v>
      </c>
      <c r="M13" t="s">
        <v>2</v>
      </c>
      <c r="N13">
        <f>(N4+N7+N10)</f>
        <v>1823</v>
      </c>
      <c r="O13">
        <f t="shared" ref="O13:Q13" si="1">(O4+O7+O10)</f>
        <v>234</v>
      </c>
      <c r="P13">
        <f t="shared" si="1"/>
        <v>156</v>
      </c>
      <c r="Q13">
        <f t="shared" si="1"/>
        <v>143</v>
      </c>
      <c r="R13">
        <f t="shared" si="0"/>
        <v>2356</v>
      </c>
    </row>
    <row r="14" spans="1:18" x14ac:dyDescent="0.25">
      <c r="M14" t="s">
        <v>55</v>
      </c>
      <c r="N14">
        <f>(N5+N8+N11)</f>
        <v>321</v>
      </c>
      <c r="O14">
        <f t="shared" ref="O14:Q14" si="2">(O5+O8+O11)</f>
        <v>159</v>
      </c>
      <c r="P14">
        <f t="shared" si="2"/>
        <v>216</v>
      </c>
      <c r="Q14">
        <f t="shared" si="2"/>
        <v>119</v>
      </c>
      <c r="R14">
        <f t="shared" si="0"/>
        <v>815</v>
      </c>
    </row>
    <row r="15" spans="1:18" x14ac:dyDescent="0.25">
      <c r="M15" t="s">
        <v>50</v>
      </c>
      <c r="N15">
        <f>(N6+N9+N12)</f>
        <v>82</v>
      </c>
      <c r="O15">
        <f t="shared" ref="O15:Q15" si="3">(O6+O9+O12)</f>
        <v>51</v>
      </c>
      <c r="P15">
        <f t="shared" si="3"/>
        <v>85</v>
      </c>
      <c r="Q15">
        <f t="shared" si="3"/>
        <v>84</v>
      </c>
      <c r="R15">
        <f t="shared" si="0"/>
        <v>302</v>
      </c>
    </row>
    <row r="18" spans="1:18" x14ac:dyDescent="0.25">
      <c r="B18" t="s">
        <v>33</v>
      </c>
      <c r="N18" t="s">
        <v>56</v>
      </c>
    </row>
    <row r="19" spans="1:18" x14ac:dyDescent="0.25">
      <c r="B19">
        <v>2020</v>
      </c>
      <c r="E19">
        <v>2025</v>
      </c>
      <c r="H19" t="s">
        <v>53</v>
      </c>
      <c r="N19" t="s">
        <v>7</v>
      </c>
      <c r="O19" t="s">
        <v>8</v>
      </c>
      <c r="P19" t="s">
        <v>10</v>
      </c>
      <c r="Q19" t="s">
        <v>9</v>
      </c>
      <c r="R19" t="s">
        <v>54</v>
      </c>
    </row>
    <row r="20" spans="1:18" x14ac:dyDescent="0.25">
      <c r="A20" t="s">
        <v>31</v>
      </c>
      <c r="B20" t="s">
        <v>51</v>
      </c>
      <c r="C20" t="s">
        <v>52</v>
      </c>
      <c r="D20" t="s">
        <v>50</v>
      </c>
      <c r="E20" t="s">
        <v>51</v>
      </c>
      <c r="F20" t="s">
        <v>52</v>
      </c>
      <c r="G20" t="s">
        <v>50</v>
      </c>
      <c r="H20" t="s">
        <v>51</v>
      </c>
      <c r="I20" t="s">
        <v>52</v>
      </c>
      <c r="J20" t="s">
        <v>50</v>
      </c>
      <c r="L20">
        <v>2015</v>
      </c>
      <c r="M20" t="s">
        <v>2</v>
      </c>
      <c r="N20" s="7">
        <f>(N4/N6)</f>
        <v>12.342857142857143</v>
      </c>
      <c r="O20" s="7"/>
      <c r="P20" s="7">
        <f t="shared" ref="P20:R20" si="4">(P4/P6)</f>
        <v>0.97142857142857142</v>
      </c>
      <c r="Q20" s="7">
        <f t="shared" si="4"/>
        <v>2.5714285714285716</v>
      </c>
      <c r="R20" s="7">
        <f t="shared" si="4"/>
        <v>5.2952380952380951</v>
      </c>
    </row>
    <row r="21" spans="1:18" x14ac:dyDescent="0.25">
      <c r="A21" t="s">
        <v>7</v>
      </c>
      <c r="B21">
        <v>1152</v>
      </c>
      <c r="C21">
        <v>228</v>
      </c>
      <c r="D21">
        <v>29</v>
      </c>
      <c r="E21">
        <v>239</v>
      </c>
      <c r="F21">
        <v>17</v>
      </c>
      <c r="G21">
        <v>18</v>
      </c>
      <c r="H21">
        <v>1391</v>
      </c>
      <c r="I21">
        <v>245</v>
      </c>
      <c r="J21">
        <v>47</v>
      </c>
      <c r="M21" t="s">
        <v>55</v>
      </c>
      <c r="N21" s="7">
        <f>(N5/N6)</f>
        <v>2.1714285714285713</v>
      </c>
      <c r="O21" s="7"/>
      <c r="P21" s="7">
        <f t="shared" ref="P21:Q21" si="5">(P5/P6)</f>
        <v>1.0285714285714285</v>
      </c>
      <c r="Q21" s="7">
        <f t="shared" si="5"/>
        <v>0.8571428571428571</v>
      </c>
      <c r="R21" s="7">
        <f>(R5/R6)</f>
        <v>1.3523809523809525</v>
      </c>
    </row>
    <row r="22" spans="1:18" x14ac:dyDescent="0.25">
      <c r="A22" t="s">
        <v>8</v>
      </c>
      <c r="B22">
        <v>216</v>
      </c>
      <c r="C22">
        <v>142</v>
      </c>
      <c r="D22">
        <v>31</v>
      </c>
      <c r="E22">
        <v>18</v>
      </c>
      <c r="F22">
        <v>17</v>
      </c>
      <c r="G22">
        <v>20</v>
      </c>
      <c r="H22">
        <v>234</v>
      </c>
      <c r="I22">
        <v>159</v>
      </c>
      <c r="J22">
        <v>51</v>
      </c>
      <c r="R22" s="7"/>
    </row>
    <row r="23" spans="1:18" x14ac:dyDescent="0.25">
      <c r="A23" t="s">
        <v>10</v>
      </c>
      <c r="B23">
        <v>112</v>
      </c>
      <c r="C23">
        <v>151</v>
      </c>
      <c r="D23">
        <v>30</v>
      </c>
      <c r="E23">
        <v>10</v>
      </c>
      <c r="F23">
        <v>29</v>
      </c>
      <c r="G23">
        <v>20</v>
      </c>
      <c r="H23">
        <v>122</v>
      </c>
      <c r="I23">
        <v>180</v>
      </c>
      <c r="J23">
        <v>50</v>
      </c>
      <c r="L23">
        <v>2020</v>
      </c>
      <c r="M23" t="s">
        <v>2</v>
      </c>
      <c r="N23" s="7">
        <f>(N7/N9)</f>
        <v>39.724137931034484</v>
      </c>
      <c r="O23" s="7">
        <f t="shared" ref="O23:R23" si="6">(O7/O9)</f>
        <v>6.967741935483871</v>
      </c>
      <c r="P23" s="7">
        <f t="shared" si="6"/>
        <v>3.7333333333333334</v>
      </c>
      <c r="Q23" s="7">
        <f t="shared" si="6"/>
        <v>1.4666666666666666</v>
      </c>
      <c r="R23" s="7">
        <f t="shared" si="6"/>
        <v>12.7</v>
      </c>
    </row>
    <row r="24" spans="1:18" x14ac:dyDescent="0.25">
      <c r="A24" t="s">
        <v>9</v>
      </c>
      <c r="B24">
        <v>44</v>
      </c>
      <c r="C24">
        <v>74</v>
      </c>
      <c r="D24">
        <v>30</v>
      </c>
      <c r="E24">
        <v>9</v>
      </c>
      <c r="F24">
        <v>15</v>
      </c>
      <c r="G24">
        <v>19</v>
      </c>
      <c r="H24">
        <v>53</v>
      </c>
      <c r="I24">
        <v>89</v>
      </c>
      <c r="J24">
        <v>49</v>
      </c>
      <c r="M24" t="s">
        <v>55</v>
      </c>
      <c r="N24" s="7">
        <f>(N8/N9)</f>
        <v>7.8620689655172411</v>
      </c>
      <c r="O24" s="7">
        <f t="shared" ref="O24:Q24" si="7">(O8/O9)</f>
        <v>4.580645161290323</v>
      </c>
      <c r="P24" s="7">
        <f t="shared" si="7"/>
        <v>5.0333333333333332</v>
      </c>
      <c r="Q24" s="7">
        <f t="shared" si="7"/>
        <v>2.4666666666666668</v>
      </c>
      <c r="R24" s="7">
        <f>(R8/R9)</f>
        <v>4.958333333333333</v>
      </c>
    </row>
    <row r="25" spans="1:18" x14ac:dyDescent="0.25">
      <c r="A25" t="s">
        <v>32</v>
      </c>
      <c r="B25">
        <v>1524</v>
      </c>
      <c r="C25">
        <v>595</v>
      </c>
      <c r="D25">
        <v>120</v>
      </c>
      <c r="E25">
        <v>276</v>
      </c>
      <c r="F25">
        <v>78</v>
      </c>
      <c r="G25">
        <v>77</v>
      </c>
      <c r="H25">
        <v>1800</v>
      </c>
      <c r="I25">
        <v>673</v>
      </c>
      <c r="J25">
        <v>197</v>
      </c>
      <c r="R25" s="7"/>
    </row>
    <row r="26" spans="1:18" x14ac:dyDescent="0.25">
      <c r="L26">
        <v>2025</v>
      </c>
      <c r="M26" t="s">
        <v>2</v>
      </c>
      <c r="N26" s="7">
        <f>(N10/N12)</f>
        <v>13.277777777777779</v>
      </c>
      <c r="O26" s="7">
        <f t="shared" ref="O26:Q26" si="8">(O10/O12)</f>
        <v>0.9</v>
      </c>
      <c r="P26" s="7">
        <f t="shared" si="8"/>
        <v>0.5</v>
      </c>
      <c r="Q26" s="7">
        <f t="shared" si="8"/>
        <v>0.47368421052631576</v>
      </c>
      <c r="R26" s="7">
        <f>(R10/R12)</f>
        <v>3.5844155844155843</v>
      </c>
    </row>
    <row r="27" spans="1:18" x14ac:dyDescent="0.25">
      <c r="M27" t="s">
        <v>55</v>
      </c>
      <c r="N27" s="7">
        <f>(N11/N12)</f>
        <v>0.94444444444444442</v>
      </c>
      <c r="O27" s="7">
        <f t="shared" ref="O27:Q27" si="9">(O11/O12)</f>
        <v>0.85</v>
      </c>
      <c r="P27" s="7">
        <f t="shared" si="9"/>
        <v>1.45</v>
      </c>
      <c r="Q27" s="7">
        <f t="shared" si="9"/>
        <v>0.78947368421052633</v>
      </c>
      <c r="R27" s="7">
        <f>(R11/R12)</f>
        <v>1.0129870129870129</v>
      </c>
    </row>
    <row r="28" spans="1:18" x14ac:dyDescent="0.25">
      <c r="R28" s="7"/>
    </row>
    <row r="29" spans="1:18" x14ac:dyDescent="0.25">
      <c r="L29" s="6" t="s">
        <v>54</v>
      </c>
      <c r="M29" t="s">
        <v>2</v>
      </c>
      <c r="N29" s="7">
        <f>(N13/N15)</f>
        <v>22.23170731707317</v>
      </c>
      <c r="O29" s="7">
        <f t="shared" ref="O29:Q29" si="10">(O13/O15)</f>
        <v>4.5882352941176467</v>
      </c>
      <c r="P29" s="7">
        <f t="shared" si="10"/>
        <v>1.8352941176470587</v>
      </c>
      <c r="Q29" s="7">
        <f t="shared" si="10"/>
        <v>1.7023809523809523</v>
      </c>
      <c r="R29" s="7">
        <f>(R13/R15)</f>
        <v>7.8013245033112586</v>
      </c>
    </row>
    <row r="30" spans="1:18" x14ac:dyDescent="0.25">
      <c r="M30" t="s">
        <v>55</v>
      </c>
      <c r="N30" s="7">
        <f>(N14/N15)</f>
        <v>3.9146341463414633</v>
      </c>
      <c r="O30" s="7">
        <f t="shared" ref="O30:Q30" si="11">(O14/O15)</f>
        <v>3.1176470588235294</v>
      </c>
      <c r="P30" s="7">
        <f t="shared" si="11"/>
        <v>2.5411764705882351</v>
      </c>
      <c r="Q30" s="7">
        <f t="shared" si="11"/>
        <v>1.4166666666666667</v>
      </c>
      <c r="R30" s="7">
        <f>(R14/R15)</f>
        <v>2.6986754966887418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C2AA-8EF3-4401-8F67-98F4BCC97C2F}">
  <dimension ref="A3:E9"/>
  <sheetViews>
    <sheetView workbookViewId="0">
      <selection activeCell="E26" sqref="E26"/>
    </sheetView>
  </sheetViews>
  <sheetFormatPr defaultRowHeight="15.75" x14ac:dyDescent="0.25"/>
  <cols>
    <col min="1" max="1" width="17.75" bestFit="1" customWidth="1"/>
    <col min="2" max="2" width="15.25" bestFit="1" customWidth="1"/>
    <col min="3" max="4" width="4.875" bestFit="1" customWidth="1"/>
    <col min="5" max="6" width="11" bestFit="1" customWidth="1"/>
  </cols>
  <sheetData>
    <row r="3" spans="1:5" x14ac:dyDescent="0.25">
      <c r="A3" s="3" t="s">
        <v>61</v>
      </c>
      <c r="B3" s="3" t="s">
        <v>33</v>
      </c>
    </row>
    <row r="4" spans="1:5" x14ac:dyDescent="0.25">
      <c r="A4" s="3" t="s">
        <v>31</v>
      </c>
      <c r="B4">
        <v>2015</v>
      </c>
      <c r="C4">
        <v>2020</v>
      </c>
      <c r="D4">
        <v>2025</v>
      </c>
      <c r="E4" t="s">
        <v>32</v>
      </c>
    </row>
    <row r="5" spans="1:5" x14ac:dyDescent="0.25">
      <c r="A5" s="4" t="s">
        <v>10</v>
      </c>
      <c r="B5">
        <v>35</v>
      </c>
      <c r="C5">
        <v>30</v>
      </c>
      <c r="D5">
        <v>20</v>
      </c>
      <c r="E5">
        <v>85</v>
      </c>
    </row>
    <row r="6" spans="1:5" x14ac:dyDescent="0.25">
      <c r="A6" s="4" t="s">
        <v>9</v>
      </c>
      <c r="B6">
        <v>32</v>
      </c>
      <c r="C6">
        <v>30</v>
      </c>
      <c r="D6">
        <v>19</v>
      </c>
      <c r="E6">
        <v>81</v>
      </c>
    </row>
    <row r="7" spans="1:5" x14ac:dyDescent="0.25">
      <c r="A7" s="4" t="s">
        <v>7</v>
      </c>
      <c r="B7">
        <v>35</v>
      </c>
      <c r="C7">
        <v>29</v>
      </c>
      <c r="D7">
        <v>18</v>
      </c>
      <c r="E7">
        <v>82</v>
      </c>
    </row>
    <row r="8" spans="1:5" x14ac:dyDescent="0.25">
      <c r="A8" s="4" t="s">
        <v>8</v>
      </c>
      <c r="C8">
        <v>31</v>
      </c>
      <c r="D8">
        <v>20</v>
      </c>
      <c r="E8">
        <v>51</v>
      </c>
    </row>
    <row r="9" spans="1:5" x14ac:dyDescent="0.25">
      <c r="A9" s="4" t="s">
        <v>32</v>
      </c>
      <c r="B9">
        <v>102</v>
      </c>
      <c r="C9">
        <v>120</v>
      </c>
      <c r="D9">
        <v>77</v>
      </c>
      <c r="E9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6EB6-554C-4AB2-AED3-51C26DD3D1DB}">
  <dimension ref="A3:K29"/>
  <sheetViews>
    <sheetView tabSelected="1" workbookViewId="0">
      <selection activeCell="C20" sqref="C20"/>
    </sheetView>
  </sheetViews>
  <sheetFormatPr defaultRowHeight="15.75" x14ac:dyDescent="0.25"/>
  <cols>
    <col min="1" max="1" width="13.375" bestFit="1" customWidth="1"/>
    <col min="2" max="2" width="16.75" bestFit="1" customWidth="1"/>
    <col min="3" max="3" width="16.875" bestFit="1" customWidth="1"/>
    <col min="4" max="4" width="16.75" bestFit="1" customWidth="1"/>
    <col min="5" max="5" width="16.875" bestFit="1" customWidth="1"/>
    <col min="6" max="6" width="16.75" bestFit="1" customWidth="1"/>
    <col min="7" max="7" width="16.875" bestFit="1" customWidth="1"/>
    <col min="8" max="8" width="16.75" bestFit="1" customWidth="1"/>
    <col min="9" max="9" width="16.875" bestFit="1" customWidth="1"/>
    <col min="10" max="10" width="21.875" bestFit="1" customWidth="1"/>
    <col min="11" max="11" width="22" bestFit="1" customWidth="1"/>
    <col min="12" max="12" width="21.875" bestFit="1" customWidth="1"/>
    <col min="13" max="13" width="22" bestFit="1" customWidth="1"/>
  </cols>
  <sheetData>
    <row r="3" spans="1:11" x14ac:dyDescent="0.25">
      <c r="B3" s="3" t="s">
        <v>33</v>
      </c>
    </row>
    <row r="4" spans="1:11" x14ac:dyDescent="0.25">
      <c r="B4" t="s">
        <v>10</v>
      </c>
      <c r="D4" t="s">
        <v>9</v>
      </c>
      <c r="F4" t="s">
        <v>7</v>
      </c>
      <c r="H4" t="s">
        <v>8</v>
      </c>
      <c r="J4" t="s">
        <v>63</v>
      </c>
      <c r="K4" t="s">
        <v>64</v>
      </c>
    </row>
    <row r="5" spans="1:11" x14ac:dyDescent="0.25">
      <c r="A5" s="3" t="s">
        <v>31</v>
      </c>
      <c r="B5" t="s">
        <v>62</v>
      </c>
      <c r="C5" t="s">
        <v>65</v>
      </c>
      <c r="D5" t="s">
        <v>62</v>
      </c>
      <c r="E5" t="s">
        <v>65</v>
      </c>
      <c r="F5" t="s">
        <v>62</v>
      </c>
      <c r="G5" t="s">
        <v>65</v>
      </c>
      <c r="H5" t="s">
        <v>62</v>
      </c>
      <c r="I5" t="s">
        <v>65</v>
      </c>
    </row>
    <row r="6" spans="1:11" x14ac:dyDescent="0.25">
      <c r="A6" s="4">
        <v>2015</v>
      </c>
      <c r="B6" s="12">
        <v>0.97142857142857142</v>
      </c>
      <c r="C6" s="12">
        <v>1.0285714285714285</v>
      </c>
      <c r="D6" s="12">
        <v>3.0625</v>
      </c>
      <c r="E6" s="12">
        <v>0.9375</v>
      </c>
      <c r="F6" s="12">
        <v>12.342857142857143</v>
      </c>
      <c r="G6" s="12">
        <v>2.1714285714285713</v>
      </c>
      <c r="H6" s="12"/>
      <c r="I6" s="12"/>
      <c r="J6" s="12">
        <v>5.5294117647058822</v>
      </c>
      <c r="K6" s="12">
        <v>1.392156862745098</v>
      </c>
    </row>
    <row r="7" spans="1:11" x14ac:dyDescent="0.25">
      <c r="A7" s="11" t="s">
        <v>59</v>
      </c>
      <c r="B7" s="12">
        <v>0.8</v>
      </c>
      <c r="C7" s="12">
        <v>1.6</v>
      </c>
      <c r="D7" s="12">
        <v>0.5</v>
      </c>
      <c r="E7" s="12">
        <v>1.4285714285714286</v>
      </c>
      <c r="F7" s="12">
        <v>8.1333333333333329</v>
      </c>
      <c r="G7" s="12">
        <v>3.9333333333333331</v>
      </c>
      <c r="H7" s="12"/>
      <c r="I7" s="12"/>
      <c r="J7" s="12">
        <v>3.2045454545454546</v>
      </c>
      <c r="K7" s="12">
        <v>2.3409090909090908</v>
      </c>
    </row>
    <row r="8" spans="1:11" x14ac:dyDescent="0.25">
      <c r="A8" s="11" t="s">
        <v>60</v>
      </c>
      <c r="B8" s="12">
        <v>1.1000000000000001</v>
      </c>
      <c r="C8" s="12">
        <v>0.6</v>
      </c>
      <c r="D8" s="12">
        <v>5.0555555555555554</v>
      </c>
      <c r="E8" s="12">
        <v>0.55555555555555558</v>
      </c>
      <c r="F8" s="12">
        <v>15.5</v>
      </c>
      <c r="G8" s="12">
        <v>0.85</v>
      </c>
      <c r="H8" s="12"/>
      <c r="I8" s="12"/>
      <c r="J8" s="12">
        <v>7.2931034482758621</v>
      </c>
      <c r="K8" s="12">
        <v>0.67241379310344829</v>
      </c>
    </row>
    <row r="9" spans="1:11" x14ac:dyDescent="0.25">
      <c r="A9" s="4">
        <v>2020</v>
      </c>
      <c r="B9" s="12">
        <v>3.7333333333333334</v>
      </c>
      <c r="C9" s="12">
        <v>5.0333333333333332</v>
      </c>
      <c r="D9" s="12">
        <v>1.4666666666666666</v>
      </c>
      <c r="E9" s="12">
        <v>2.4666666666666668</v>
      </c>
      <c r="F9" s="12">
        <v>39.724137931034484</v>
      </c>
      <c r="G9" s="12">
        <v>7.8620689655172411</v>
      </c>
      <c r="H9" s="12">
        <v>6.967741935483871</v>
      </c>
      <c r="I9" s="12">
        <v>4.580645161290323</v>
      </c>
      <c r="J9" s="12">
        <v>12.7</v>
      </c>
      <c r="K9" s="12">
        <v>4.958333333333333</v>
      </c>
    </row>
    <row r="10" spans="1:11" x14ac:dyDescent="0.25">
      <c r="A10" s="11" t="s">
        <v>59</v>
      </c>
      <c r="B10" s="12">
        <v>3.7333333333333334</v>
      </c>
      <c r="C10" s="12">
        <v>5.0333333333333332</v>
      </c>
      <c r="D10" s="12">
        <v>1.4666666666666666</v>
      </c>
      <c r="E10" s="12">
        <v>2.4666666666666668</v>
      </c>
      <c r="F10" s="12">
        <v>39.724137931034484</v>
      </c>
      <c r="G10" s="12">
        <v>7.8620689655172411</v>
      </c>
      <c r="H10" s="12">
        <v>6.967741935483871</v>
      </c>
      <c r="I10" s="12">
        <v>4.580645161290323</v>
      </c>
      <c r="J10" s="12">
        <v>12.7</v>
      </c>
      <c r="K10" s="12">
        <v>4.958333333333333</v>
      </c>
    </row>
    <row r="11" spans="1:11" x14ac:dyDescent="0.25">
      <c r="A11" s="4">
        <v>2025</v>
      </c>
      <c r="B11" s="12">
        <v>0.5</v>
      </c>
      <c r="C11" s="12">
        <v>1.45</v>
      </c>
      <c r="D11" s="12">
        <v>0.47368421052631576</v>
      </c>
      <c r="E11" s="12">
        <v>0.78947368421052633</v>
      </c>
      <c r="F11" s="12">
        <v>13.277777777777779</v>
      </c>
      <c r="G11" s="12">
        <v>0.94444444444444442</v>
      </c>
      <c r="H11" s="12">
        <v>0.9</v>
      </c>
      <c r="I11" s="12">
        <v>0.85</v>
      </c>
      <c r="J11" s="12">
        <v>3.5844155844155843</v>
      </c>
      <c r="K11" s="12">
        <v>1.0129870129870129</v>
      </c>
    </row>
    <row r="12" spans="1:11" x14ac:dyDescent="0.25">
      <c r="A12" s="11" t="s">
        <v>59</v>
      </c>
      <c r="B12" s="12">
        <v>0.5</v>
      </c>
      <c r="C12" s="12">
        <v>1.45</v>
      </c>
      <c r="D12" s="12">
        <v>0.47368421052631576</v>
      </c>
      <c r="E12" s="12">
        <v>0.78947368421052633</v>
      </c>
      <c r="F12" s="12">
        <v>13.277777777777779</v>
      </c>
      <c r="G12" s="12">
        <v>0.94444444444444442</v>
      </c>
      <c r="H12" s="12">
        <v>0.9</v>
      </c>
      <c r="I12" s="12">
        <v>0.85</v>
      </c>
      <c r="J12" s="12">
        <v>3.5844155844155843</v>
      </c>
      <c r="K12" s="12">
        <v>1.0129870129870129</v>
      </c>
    </row>
    <row r="13" spans="1:11" x14ac:dyDescent="0.25">
      <c r="A13" s="4" t="s">
        <v>32</v>
      </c>
      <c r="B13" s="12">
        <v>1.8352941176470587</v>
      </c>
      <c r="C13" s="12">
        <v>2.5411764705882351</v>
      </c>
      <c r="D13" s="12">
        <v>1.8641975308641976</v>
      </c>
      <c r="E13" s="12">
        <v>1.4691358024691359</v>
      </c>
      <c r="F13" s="12">
        <v>22.23170731707317</v>
      </c>
      <c r="G13" s="12">
        <v>3.9146341463414633</v>
      </c>
      <c r="H13" s="12">
        <v>4.5882352941176467</v>
      </c>
      <c r="I13" s="12">
        <v>3.1176470588235294</v>
      </c>
      <c r="J13" s="12">
        <v>7.9063545150501673</v>
      </c>
      <c r="K13" s="12">
        <v>2.7257525083612042</v>
      </c>
    </row>
    <row r="20" spans="1:8" x14ac:dyDescent="0.25">
      <c r="C20" t="s">
        <v>1</v>
      </c>
    </row>
    <row r="21" spans="1:8" x14ac:dyDescent="0.25">
      <c r="C21" t="s">
        <v>66</v>
      </c>
      <c r="D21" t="s">
        <v>67</v>
      </c>
      <c r="E21" t="s">
        <v>68</v>
      </c>
      <c r="F21" t="s">
        <v>69</v>
      </c>
    </row>
    <row r="22" spans="1:8" x14ac:dyDescent="0.25">
      <c r="C22" t="s">
        <v>70</v>
      </c>
      <c r="D22" t="s">
        <v>70</v>
      </c>
      <c r="E22" t="s">
        <v>70</v>
      </c>
      <c r="F22" t="s">
        <v>70</v>
      </c>
    </row>
    <row r="23" spans="1:8" x14ac:dyDescent="0.25">
      <c r="A23">
        <v>2015</v>
      </c>
      <c r="B23" t="s">
        <v>59</v>
      </c>
      <c r="C23" s="12">
        <v>0.8</v>
      </c>
      <c r="D23" s="12">
        <v>0.5</v>
      </c>
      <c r="E23" s="12">
        <v>8.1333333333333329</v>
      </c>
      <c r="F23" s="12"/>
      <c r="G23" s="12"/>
      <c r="H23" s="12"/>
    </row>
    <row r="24" spans="1:8" x14ac:dyDescent="0.25">
      <c r="B24" t="s">
        <v>60</v>
      </c>
      <c r="C24" s="12">
        <v>1.1000000000000001</v>
      </c>
      <c r="D24" s="12">
        <v>5.0555555555555554</v>
      </c>
      <c r="E24" s="12">
        <v>15.5</v>
      </c>
      <c r="F24" s="12"/>
      <c r="G24" s="12"/>
      <c r="H24" s="12"/>
    </row>
    <row r="25" spans="1:8" x14ac:dyDescent="0.25">
      <c r="G25" s="12"/>
      <c r="H25" s="12"/>
    </row>
    <row r="26" spans="1:8" x14ac:dyDescent="0.25">
      <c r="A26">
        <v>2020</v>
      </c>
      <c r="B26" t="s">
        <v>59</v>
      </c>
      <c r="C26" s="12">
        <v>3.7333333333333334</v>
      </c>
      <c r="D26" s="12">
        <v>1.4666666666666666</v>
      </c>
      <c r="E26" s="12">
        <v>39.724137931034484</v>
      </c>
      <c r="F26" s="12">
        <v>6.967741935483871</v>
      </c>
      <c r="G26" s="12"/>
      <c r="H26" s="12"/>
    </row>
    <row r="27" spans="1:8" x14ac:dyDescent="0.25">
      <c r="C27" s="12"/>
      <c r="D27" s="12"/>
      <c r="E27" s="12"/>
      <c r="F27" s="12"/>
      <c r="G27" s="12"/>
      <c r="H27" s="12"/>
    </row>
    <row r="28" spans="1:8" x14ac:dyDescent="0.25">
      <c r="A28">
        <v>2025</v>
      </c>
      <c r="B28" t="s">
        <v>59</v>
      </c>
      <c r="C28" s="12">
        <v>0.5</v>
      </c>
      <c r="D28" s="12">
        <v>0.47368421052631576</v>
      </c>
      <c r="E28" s="12">
        <v>13.277777777777779</v>
      </c>
      <c r="F28" s="12">
        <v>0.9</v>
      </c>
      <c r="G28" s="12"/>
      <c r="H28" s="12"/>
    </row>
    <row r="29" spans="1:8" x14ac:dyDescent="0.25">
      <c r="C29" s="12"/>
      <c r="D29" s="12"/>
      <c r="E29" s="12"/>
      <c r="F29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601B-1DC4-4F33-9BE0-E965263EF2A9}">
  <dimension ref="A1:L300"/>
  <sheetViews>
    <sheetView topLeftCell="A88" workbookViewId="0">
      <selection activeCell="G252" sqref="G252"/>
    </sheetView>
  </sheetViews>
  <sheetFormatPr defaultColWidth="8.875" defaultRowHeight="15.75" x14ac:dyDescent="0.25"/>
  <cols>
    <col min="1" max="1" width="10.625" customWidth="1"/>
    <col min="2" max="2" width="10.5" bestFit="1" customWidth="1"/>
    <col min="3" max="3" width="10.5" customWidth="1"/>
    <col min="10" max="10" width="12.875" customWidth="1"/>
    <col min="11" max="11" width="19.375" customWidth="1"/>
    <col min="12" max="12" width="40.375" customWidth="1"/>
  </cols>
  <sheetData>
    <row r="1" spans="1:12" x14ac:dyDescent="0.25">
      <c r="A1" t="s">
        <v>39</v>
      </c>
      <c r="B1" t="s">
        <v>14</v>
      </c>
      <c r="C1" t="s">
        <v>40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24</v>
      </c>
      <c r="K1" t="s">
        <v>38</v>
      </c>
      <c r="L1" t="s">
        <v>6</v>
      </c>
    </row>
    <row r="2" spans="1:12" x14ac:dyDescent="0.25">
      <c r="A2">
        <v>2015</v>
      </c>
      <c r="B2" s="8">
        <v>42219</v>
      </c>
      <c r="C2" s="5">
        <f t="shared" ref="C2:C65" si="0">B2-DATE(YEAR(B2),1,0)</f>
        <v>215</v>
      </c>
      <c r="D2" s="10">
        <v>2</v>
      </c>
      <c r="E2" t="s">
        <v>10</v>
      </c>
      <c r="F2">
        <v>0</v>
      </c>
      <c r="G2">
        <v>1</v>
      </c>
      <c r="H2">
        <v>0</v>
      </c>
      <c r="I2">
        <v>0</v>
      </c>
      <c r="J2">
        <v>0</v>
      </c>
      <c r="K2" s="10" t="s">
        <v>60</v>
      </c>
    </row>
    <row r="3" spans="1:12" x14ac:dyDescent="0.25">
      <c r="A3">
        <v>2015</v>
      </c>
      <c r="B3" s="8">
        <v>42219</v>
      </c>
      <c r="C3" s="5">
        <f t="shared" si="0"/>
        <v>215</v>
      </c>
      <c r="D3" s="10">
        <v>5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K3" s="10" t="s">
        <v>60</v>
      </c>
    </row>
    <row r="4" spans="1:12" x14ac:dyDescent="0.25">
      <c r="A4">
        <v>2015</v>
      </c>
      <c r="B4" s="8">
        <v>42219</v>
      </c>
      <c r="C4" s="5">
        <f t="shared" si="0"/>
        <v>215</v>
      </c>
      <c r="D4" s="10">
        <v>8</v>
      </c>
      <c r="E4" t="s">
        <v>10</v>
      </c>
      <c r="F4">
        <v>1</v>
      </c>
      <c r="G4">
        <v>0</v>
      </c>
      <c r="H4">
        <v>0</v>
      </c>
      <c r="I4">
        <v>0</v>
      </c>
      <c r="J4">
        <v>0</v>
      </c>
      <c r="K4" s="10" t="s">
        <v>60</v>
      </c>
    </row>
    <row r="5" spans="1:12" x14ac:dyDescent="0.25">
      <c r="A5">
        <v>2015</v>
      </c>
      <c r="B5" s="8">
        <v>42219</v>
      </c>
      <c r="C5" s="5">
        <f t="shared" si="0"/>
        <v>215</v>
      </c>
      <c r="D5" s="10">
        <v>11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  <c r="K5" s="10" t="s">
        <v>60</v>
      </c>
    </row>
    <row r="6" spans="1:12" x14ac:dyDescent="0.25">
      <c r="A6">
        <v>2015</v>
      </c>
      <c r="B6" s="8">
        <v>42219</v>
      </c>
      <c r="C6" s="5">
        <f t="shared" si="0"/>
        <v>215</v>
      </c>
      <c r="D6" s="10">
        <v>14</v>
      </c>
      <c r="E6" t="s">
        <v>10</v>
      </c>
      <c r="F6">
        <v>0</v>
      </c>
      <c r="G6">
        <v>0</v>
      </c>
      <c r="H6">
        <v>0</v>
      </c>
      <c r="I6">
        <v>0</v>
      </c>
      <c r="J6">
        <v>0</v>
      </c>
      <c r="K6" s="10" t="s">
        <v>60</v>
      </c>
    </row>
    <row r="7" spans="1:12" x14ac:dyDescent="0.25">
      <c r="A7">
        <v>2015</v>
      </c>
      <c r="B7" s="8">
        <v>42219</v>
      </c>
      <c r="C7" s="5">
        <f t="shared" si="0"/>
        <v>215</v>
      </c>
      <c r="D7" s="10">
        <v>1</v>
      </c>
      <c r="E7" t="s">
        <v>9</v>
      </c>
      <c r="F7">
        <v>0</v>
      </c>
      <c r="G7">
        <v>0</v>
      </c>
      <c r="H7">
        <v>0</v>
      </c>
      <c r="I7">
        <v>0</v>
      </c>
      <c r="J7">
        <v>0</v>
      </c>
      <c r="K7" s="10" t="s">
        <v>60</v>
      </c>
    </row>
    <row r="8" spans="1:12" x14ac:dyDescent="0.25">
      <c r="A8">
        <v>2015</v>
      </c>
      <c r="B8" s="8">
        <v>42219</v>
      </c>
      <c r="C8" s="5">
        <f t="shared" si="0"/>
        <v>215</v>
      </c>
      <c r="D8" s="10">
        <v>4</v>
      </c>
      <c r="E8" t="s">
        <v>9</v>
      </c>
      <c r="F8">
        <v>0</v>
      </c>
      <c r="G8">
        <v>0</v>
      </c>
      <c r="H8">
        <v>0</v>
      </c>
      <c r="I8">
        <v>0</v>
      </c>
      <c r="J8">
        <v>0</v>
      </c>
      <c r="K8" s="10" t="s">
        <v>60</v>
      </c>
    </row>
    <row r="9" spans="1:12" x14ac:dyDescent="0.25">
      <c r="A9">
        <v>2015</v>
      </c>
      <c r="B9" s="8">
        <v>42219</v>
      </c>
      <c r="C9" s="5">
        <f t="shared" si="0"/>
        <v>215</v>
      </c>
      <c r="D9" s="10">
        <v>7</v>
      </c>
      <c r="E9" t="s">
        <v>9</v>
      </c>
      <c r="F9">
        <v>0</v>
      </c>
      <c r="G9">
        <v>0</v>
      </c>
      <c r="H9">
        <v>0</v>
      </c>
      <c r="I9">
        <v>0</v>
      </c>
      <c r="J9">
        <v>0</v>
      </c>
      <c r="K9" s="10" t="s">
        <v>60</v>
      </c>
    </row>
    <row r="10" spans="1:12" x14ac:dyDescent="0.25">
      <c r="A10">
        <v>2015</v>
      </c>
      <c r="B10" s="8">
        <v>42219</v>
      </c>
      <c r="C10" s="5">
        <f t="shared" si="0"/>
        <v>215</v>
      </c>
      <c r="D10" s="10">
        <v>10</v>
      </c>
      <c r="E10" t="s">
        <v>9</v>
      </c>
      <c r="F10">
        <v>0</v>
      </c>
      <c r="G10">
        <v>0</v>
      </c>
      <c r="H10">
        <v>0</v>
      </c>
      <c r="I10">
        <v>0</v>
      </c>
      <c r="J10">
        <v>0</v>
      </c>
      <c r="K10" s="10" t="s">
        <v>60</v>
      </c>
    </row>
    <row r="11" spans="1:12" x14ac:dyDescent="0.25">
      <c r="A11">
        <v>2015</v>
      </c>
      <c r="B11" s="8">
        <v>42219</v>
      </c>
      <c r="C11" s="5">
        <f t="shared" si="0"/>
        <v>215</v>
      </c>
      <c r="D11" s="10">
        <v>13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 s="10" t="s">
        <v>60</v>
      </c>
    </row>
    <row r="12" spans="1:12" x14ac:dyDescent="0.25">
      <c r="A12">
        <v>2015</v>
      </c>
      <c r="B12" s="8">
        <v>42219</v>
      </c>
      <c r="C12" s="5">
        <f t="shared" si="0"/>
        <v>215</v>
      </c>
      <c r="D12" s="10">
        <v>3</v>
      </c>
      <c r="E12" t="s">
        <v>7</v>
      </c>
      <c r="F12">
        <v>0</v>
      </c>
      <c r="G12">
        <v>2</v>
      </c>
      <c r="H12">
        <v>0</v>
      </c>
      <c r="I12">
        <v>0</v>
      </c>
      <c r="J12">
        <v>0</v>
      </c>
      <c r="K12" s="10" t="s">
        <v>60</v>
      </c>
    </row>
    <row r="13" spans="1:12" x14ac:dyDescent="0.25">
      <c r="A13">
        <v>2015</v>
      </c>
      <c r="B13" s="8">
        <v>42219</v>
      </c>
      <c r="C13" s="5">
        <f t="shared" si="0"/>
        <v>215</v>
      </c>
      <c r="D13" s="10">
        <v>6</v>
      </c>
      <c r="E13" t="s">
        <v>7</v>
      </c>
      <c r="F13">
        <v>5</v>
      </c>
      <c r="G13">
        <v>0</v>
      </c>
      <c r="H13">
        <v>0</v>
      </c>
      <c r="I13">
        <v>0</v>
      </c>
      <c r="J13">
        <v>0</v>
      </c>
      <c r="K13" s="10" t="s">
        <v>60</v>
      </c>
    </row>
    <row r="14" spans="1:12" x14ac:dyDescent="0.25">
      <c r="A14">
        <v>2015</v>
      </c>
      <c r="B14" s="8">
        <v>42219</v>
      </c>
      <c r="C14" s="5">
        <f t="shared" si="0"/>
        <v>215</v>
      </c>
      <c r="D14" s="10">
        <v>9</v>
      </c>
      <c r="E14" t="s">
        <v>7</v>
      </c>
      <c r="F14">
        <v>5</v>
      </c>
      <c r="G14">
        <v>0</v>
      </c>
      <c r="H14">
        <v>0</v>
      </c>
      <c r="I14">
        <v>0</v>
      </c>
      <c r="J14">
        <v>0</v>
      </c>
      <c r="K14" s="10" t="s">
        <v>60</v>
      </c>
    </row>
    <row r="15" spans="1:12" x14ac:dyDescent="0.25">
      <c r="A15">
        <v>2015</v>
      </c>
      <c r="B15" s="8">
        <v>42219</v>
      </c>
      <c r="C15" s="5">
        <f t="shared" si="0"/>
        <v>215</v>
      </c>
      <c r="D15" s="10">
        <v>12</v>
      </c>
      <c r="E15" t="s">
        <v>7</v>
      </c>
      <c r="F15">
        <v>5</v>
      </c>
      <c r="G15">
        <v>1</v>
      </c>
      <c r="H15">
        <v>0</v>
      </c>
      <c r="I15">
        <v>0</v>
      </c>
      <c r="J15">
        <v>0</v>
      </c>
      <c r="K15" s="10" t="s">
        <v>60</v>
      </c>
    </row>
    <row r="16" spans="1:12" x14ac:dyDescent="0.25">
      <c r="A16">
        <v>2015</v>
      </c>
      <c r="B16" s="8">
        <v>42219</v>
      </c>
      <c r="C16" s="5">
        <f t="shared" si="0"/>
        <v>215</v>
      </c>
      <c r="D16" s="10">
        <v>15</v>
      </c>
      <c r="E16" t="s">
        <v>7</v>
      </c>
      <c r="F16">
        <v>3</v>
      </c>
      <c r="G16">
        <v>0</v>
      </c>
      <c r="H16">
        <v>0</v>
      </c>
      <c r="I16">
        <v>0</v>
      </c>
      <c r="J16">
        <v>0</v>
      </c>
      <c r="K16" s="10" t="s">
        <v>60</v>
      </c>
    </row>
    <row r="17" spans="1:11" x14ac:dyDescent="0.25">
      <c r="A17">
        <v>2015</v>
      </c>
      <c r="B17" s="8">
        <v>42219</v>
      </c>
      <c r="C17" s="5">
        <f t="shared" si="0"/>
        <v>215</v>
      </c>
      <c r="D17" s="10">
        <v>2</v>
      </c>
      <c r="E17" t="s">
        <v>10</v>
      </c>
      <c r="F17">
        <v>0</v>
      </c>
      <c r="G17">
        <v>0</v>
      </c>
      <c r="H17">
        <v>0</v>
      </c>
      <c r="I17">
        <v>0</v>
      </c>
      <c r="J17">
        <v>0</v>
      </c>
      <c r="K17" s="10" t="s">
        <v>59</v>
      </c>
    </row>
    <row r="18" spans="1:11" x14ac:dyDescent="0.25">
      <c r="A18">
        <v>2015</v>
      </c>
      <c r="B18" s="8">
        <v>42219</v>
      </c>
      <c r="C18" s="5">
        <f t="shared" si="0"/>
        <v>215</v>
      </c>
      <c r="D18" s="10">
        <v>5</v>
      </c>
      <c r="E18" t="s">
        <v>10</v>
      </c>
      <c r="F18">
        <v>0</v>
      </c>
      <c r="G18">
        <v>0</v>
      </c>
      <c r="H18">
        <v>0</v>
      </c>
      <c r="I18">
        <v>0</v>
      </c>
      <c r="J18">
        <v>0</v>
      </c>
      <c r="K18" s="10" t="s">
        <v>59</v>
      </c>
    </row>
    <row r="19" spans="1:11" x14ac:dyDescent="0.25">
      <c r="A19">
        <v>2015</v>
      </c>
      <c r="B19" s="8">
        <v>42219</v>
      </c>
      <c r="C19" s="5">
        <f t="shared" si="0"/>
        <v>215</v>
      </c>
      <c r="D19" s="10">
        <v>8</v>
      </c>
      <c r="E19" t="s">
        <v>10</v>
      </c>
      <c r="F19">
        <v>0</v>
      </c>
      <c r="G19">
        <v>1</v>
      </c>
      <c r="H19">
        <v>0</v>
      </c>
      <c r="I19">
        <v>0</v>
      </c>
      <c r="J19">
        <v>0</v>
      </c>
      <c r="K19" s="10" t="s">
        <v>59</v>
      </c>
    </row>
    <row r="20" spans="1:11" x14ac:dyDescent="0.25">
      <c r="A20">
        <v>2015</v>
      </c>
      <c r="B20" s="8">
        <v>42219</v>
      </c>
      <c r="C20" s="5">
        <f t="shared" si="0"/>
        <v>215</v>
      </c>
      <c r="D20" s="10">
        <v>11</v>
      </c>
      <c r="E20" t="s">
        <v>10</v>
      </c>
      <c r="F20">
        <v>1</v>
      </c>
      <c r="G20">
        <v>0</v>
      </c>
      <c r="H20">
        <v>0</v>
      </c>
      <c r="I20">
        <v>0</v>
      </c>
      <c r="J20">
        <v>0</v>
      </c>
      <c r="K20" s="10" t="s">
        <v>59</v>
      </c>
    </row>
    <row r="21" spans="1:11" x14ac:dyDescent="0.25">
      <c r="A21">
        <v>2015</v>
      </c>
      <c r="B21" s="8">
        <v>42219</v>
      </c>
      <c r="C21" s="5">
        <f t="shared" si="0"/>
        <v>215</v>
      </c>
      <c r="D21" s="10">
        <v>14</v>
      </c>
      <c r="E21" t="s">
        <v>10</v>
      </c>
      <c r="F21">
        <v>0</v>
      </c>
      <c r="G21">
        <v>1</v>
      </c>
      <c r="H21">
        <v>0</v>
      </c>
      <c r="I21">
        <v>0</v>
      </c>
      <c r="J21">
        <v>0</v>
      </c>
      <c r="K21" s="10" t="s">
        <v>59</v>
      </c>
    </row>
    <row r="22" spans="1:11" x14ac:dyDescent="0.25">
      <c r="A22">
        <v>2015</v>
      </c>
      <c r="B22" s="8">
        <v>42219</v>
      </c>
      <c r="C22" s="5">
        <f t="shared" si="0"/>
        <v>215</v>
      </c>
      <c r="D22" s="10">
        <v>1</v>
      </c>
      <c r="E22" t="s">
        <v>9</v>
      </c>
      <c r="F22">
        <v>0</v>
      </c>
      <c r="G22">
        <v>0</v>
      </c>
      <c r="H22">
        <v>0</v>
      </c>
      <c r="I22">
        <v>0</v>
      </c>
      <c r="J22">
        <v>0</v>
      </c>
      <c r="K22" s="10" t="s">
        <v>59</v>
      </c>
    </row>
    <row r="23" spans="1:11" x14ac:dyDescent="0.25">
      <c r="A23">
        <v>2015</v>
      </c>
      <c r="B23" s="8">
        <v>42219</v>
      </c>
      <c r="C23" s="5">
        <f t="shared" si="0"/>
        <v>215</v>
      </c>
      <c r="D23" s="10">
        <v>4</v>
      </c>
      <c r="E23" t="s">
        <v>9</v>
      </c>
      <c r="F23">
        <v>0</v>
      </c>
      <c r="G23">
        <v>4</v>
      </c>
      <c r="H23">
        <v>0</v>
      </c>
      <c r="I23">
        <v>0</v>
      </c>
      <c r="J23">
        <v>0</v>
      </c>
      <c r="K23" s="10" t="s">
        <v>59</v>
      </c>
    </row>
    <row r="24" spans="1:11" x14ac:dyDescent="0.25">
      <c r="A24">
        <v>2015</v>
      </c>
      <c r="B24" s="8">
        <v>42219</v>
      </c>
      <c r="C24" s="5">
        <f t="shared" si="0"/>
        <v>215</v>
      </c>
      <c r="D24" s="10">
        <v>7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 s="10" t="s">
        <v>59</v>
      </c>
    </row>
    <row r="25" spans="1:11" x14ac:dyDescent="0.25">
      <c r="A25">
        <v>2015</v>
      </c>
      <c r="B25" s="8">
        <v>42219</v>
      </c>
      <c r="C25" s="5">
        <f t="shared" si="0"/>
        <v>215</v>
      </c>
      <c r="D25" s="10">
        <v>10</v>
      </c>
      <c r="E25" t="s">
        <v>9</v>
      </c>
      <c r="F25">
        <v>0</v>
      </c>
      <c r="G25">
        <v>2</v>
      </c>
      <c r="H25">
        <v>0</v>
      </c>
      <c r="I25">
        <v>0</v>
      </c>
      <c r="J25">
        <v>0</v>
      </c>
      <c r="K25" s="10" t="s">
        <v>59</v>
      </c>
    </row>
    <row r="26" spans="1:11" x14ac:dyDescent="0.25">
      <c r="A26">
        <v>2015</v>
      </c>
      <c r="B26" s="8">
        <v>42219</v>
      </c>
      <c r="C26" s="5">
        <f t="shared" si="0"/>
        <v>215</v>
      </c>
      <c r="D26" s="10">
        <v>13</v>
      </c>
      <c r="E26" t="s">
        <v>9</v>
      </c>
      <c r="F26">
        <v>0</v>
      </c>
      <c r="G26">
        <v>1</v>
      </c>
      <c r="H26">
        <v>0</v>
      </c>
      <c r="I26">
        <v>0</v>
      </c>
      <c r="J26">
        <v>0</v>
      </c>
      <c r="K26" s="10" t="s">
        <v>59</v>
      </c>
    </row>
    <row r="27" spans="1:11" x14ac:dyDescent="0.25">
      <c r="A27">
        <v>2015</v>
      </c>
      <c r="B27" s="8">
        <v>42219</v>
      </c>
      <c r="C27" s="5">
        <f t="shared" si="0"/>
        <v>215</v>
      </c>
      <c r="D27" s="10">
        <v>3</v>
      </c>
      <c r="E27" t="s">
        <v>7</v>
      </c>
      <c r="F27">
        <v>0</v>
      </c>
      <c r="G27">
        <v>2</v>
      </c>
      <c r="H27">
        <v>0</v>
      </c>
      <c r="I27">
        <v>0</v>
      </c>
      <c r="J27">
        <v>0</v>
      </c>
      <c r="K27" s="10" t="s">
        <v>59</v>
      </c>
    </row>
    <row r="28" spans="1:11" x14ac:dyDescent="0.25">
      <c r="A28">
        <v>2015</v>
      </c>
      <c r="B28" s="8">
        <v>42219</v>
      </c>
      <c r="C28" s="5">
        <f t="shared" si="0"/>
        <v>215</v>
      </c>
      <c r="D28" s="10">
        <v>6</v>
      </c>
      <c r="E28" t="s">
        <v>7</v>
      </c>
      <c r="F28">
        <v>0</v>
      </c>
      <c r="G28">
        <v>13</v>
      </c>
      <c r="H28">
        <v>0</v>
      </c>
      <c r="I28">
        <v>0</v>
      </c>
      <c r="J28">
        <v>0</v>
      </c>
      <c r="K28" s="10" t="s">
        <v>59</v>
      </c>
    </row>
    <row r="29" spans="1:11" x14ac:dyDescent="0.25">
      <c r="A29">
        <v>2015</v>
      </c>
      <c r="B29" s="8">
        <v>42219</v>
      </c>
      <c r="C29" s="5">
        <f t="shared" si="0"/>
        <v>215</v>
      </c>
      <c r="D29" s="10">
        <v>9</v>
      </c>
      <c r="E29" t="s">
        <v>7</v>
      </c>
      <c r="F29">
        <v>0</v>
      </c>
      <c r="G29">
        <v>18</v>
      </c>
      <c r="H29">
        <v>1</v>
      </c>
      <c r="I29">
        <v>0</v>
      </c>
      <c r="J29">
        <v>0</v>
      </c>
      <c r="K29" s="10" t="s">
        <v>59</v>
      </c>
    </row>
    <row r="30" spans="1:11" x14ac:dyDescent="0.25">
      <c r="A30">
        <v>2015</v>
      </c>
      <c r="B30" s="8">
        <v>42219</v>
      </c>
      <c r="C30" s="5">
        <f t="shared" si="0"/>
        <v>215</v>
      </c>
      <c r="D30" s="10">
        <v>12</v>
      </c>
      <c r="E30" t="s">
        <v>7</v>
      </c>
      <c r="F30">
        <v>2</v>
      </c>
      <c r="G30">
        <v>3</v>
      </c>
      <c r="H30">
        <v>0</v>
      </c>
      <c r="I30">
        <v>0</v>
      </c>
      <c r="J30">
        <v>0</v>
      </c>
      <c r="K30" s="10" t="s">
        <v>59</v>
      </c>
    </row>
    <row r="31" spans="1:11" x14ac:dyDescent="0.25">
      <c r="A31">
        <v>2015</v>
      </c>
      <c r="B31" s="8">
        <v>42219</v>
      </c>
      <c r="C31" s="5">
        <f t="shared" si="0"/>
        <v>215</v>
      </c>
      <c r="D31" s="10">
        <v>15</v>
      </c>
      <c r="E31" t="s">
        <v>7</v>
      </c>
      <c r="F31">
        <v>1</v>
      </c>
      <c r="G31">
        <v>4</v>
      </c>
      <c r="H31">
        <v>0</v>
      </c>
      <c r="I31">
        <v>0</v>
      </c>
      <c r="J31">
        <v>0</v>
      </c>
      <c r="K31" s="10" t="s">
        <v>59</v>
      </c>
    </row>
    <row r="32" spans="1:11" x14ac:dyDescent="0.25">
      <c r="A32">
        <v>2015</v>
      </c>
      <c r="B32" s="8">
        <v>42220</v>
      </c>
      <c r="C32" s="5">
        <f t="shared" si="0"/>
        <v>216</v>
      </c>
      <c r="D32" s="10">
        <v>2</v>
      </c>
      <c r="E32" t="s">
        <v>10</v>
      </c>
      <c r="F32">
        <v>0</v>
      </c>
      <c r="G32">
        <v>2</v>
      </c>
      <c r="H32">
        <v>0</v>
      </c>
      <c r="I32">
        <v>0</v>
      </c>
      <c r="J32">
        <v>0</v>
      </c>
      <c r="K32" s="10" t="s">
        <v>60</v>
      </c>
    </row>
    <row r="33" spans="1:11" x14ac:dyDescent="0.25">
      <c r="A33">
        <v>2015</v>
      </c>
      <c r="B33" s="8">
        <v>42220</v>
      </c>
      <c r="C33" s="5">
        <f t="shared" si="0"/>
        <v>216</v>
      </c>
      <c r="D33" s="10">
        <v>5</v>
      </c>
      <c r="E33" t="s">
        <v>10</v>
      </c>
      <c r="F33">
        <v>0</v>
      </c>
      <c r="G33">
        <v>0</v>
      </c>
      <c r="H33">
        <v>0</v>
      </c>
      <c r="I33">
        <v>0</v>
      </c>
      <c r="J33">
        <v>0</v>
      </c>
      <c r="K33" s="10" t="s">
        <v>60</v>
      </c>
    </row>
    <row r="34" spans="1:11" x14ac:dyDescent="0.25">
      <c r="A34">
        <v>2015</v>
      </c>
      <c r="B34" s="8">
        <v>42220</v>
      </c>
      <c r="C34" s="5">
        <f t="shared" si="0"/>
        <v>216</v>
      </c>
      <c r="D34" s="10">
        <v>8</v>
      </c>
      <c r="E34" t="s">
        <v>10</v>
      </c>
      <c r="F34">
        <v>0</v>
      </c>
      <c r="G34">
        <v>1</v>
      </c>
      <c r="H34">
        <v>0</v>
      </c>
      <c r="I34">
        <v>0</v>
      </c>
      <c r="J34">
        <v>0</v>
      </c>
      <c r="K34" s="10" t="s">
        <v>60</v>
      </c>
    </row>
    <row r="35" spans="1:11" x14ac:dyDescent="0.25">
      <c r="A35">
        <v>2015</v>
      </c>
      <c r="B35" s="8">
        <v>42220</v>
      </c>
      <c r="C35" s="5">
        <f t="shared" si="0"/>
        <v>216</v>
      </c>
      <c r="D35" s="10">
        <v>11</v>
      </c>
      <c r="E35" t="s">
        <v>10</v>
      </c>
      <c r="F35">
        <v>0</v>
      </c>
      <c r="G35">
        <v>0</v>
      </c>
      <c r="H35">
        <v>0</v>
      </c>
      <c r="I35">
        <v>0</v>
      </c>
      <c r="J35">
        <v>0</v>
      </c>
      <c r="K35" s="10" t="s">
        <v>60</v>
      </c>
    </row>
    <row r="36" spans="1:11" x14ac:dyDescent="0.25">
      <c r="A36">
        <v>2015</v>
      </c>
      <c r="B36" s="8">
        <v>42220</v>
      </c>
      <c r="C36" s="5">
        <f t="shared" si="0"/>
        <v>216</v>
      </c>
      <c r="D36" s="10">
        <v>14</v>
      </c>
      <c r="E36" t="s">
        <v>10</v>
      </c>
      <c r="F36">
        <v>0</v>
      </c>
      <c r="G36">
        <v>0</v>
      </c>
      <c r="H36">
        <v>0</v>
      </c>
      <c r="I36">
        <v>0</v>
      </c>
      <c r="J36">
        <v>0</v>
      </c>
      <c r="K36" s="10" t="s">
        <v>60</v>
      </c>
    </row>
    <row r="37" spans="1:11" x14ac:dyDescent="0.25">
      <c r="A37">
        <v>2015</v>
      </c>
      <c r="B37" s="8">
        <v>42220</v>
      </c>
      <c r="C37" s="5">
        <f t="shared" si="0"/>
        <v>216</v>
      </c>
      <c r="D37" s="10">
        <v>4</v>
      </c>
      <c r="E37" t="s">
        <v>9</v>
      </c>
      <c r="F37">
        <v>0</v>
      </c>
      <c r="G37">
        <v>0</v>
      </c>
      <c r="H37">
        <v>0</v>
      </c>
      <c r="I37">
        <v>0</v>
      </c>
      <c r="J37">
        <v>0</v>
      </c>
      <c r="K37" s="10" t="s">
        <v>60</v>
      </c>
    </row>
    <row r="38" spans="1:11" x14ac:dyDescent="0.25">
      <c r="A38">
        <v>2015</v>
      </c>
      <c r="B38" s="8">
        <v>42220</v>
      </c>
      <c r="C38" s="5">
        <f t="shared" si="0"/>
        <v>216</v>
      </c>
      <c r="D38" s="10">
        <v>7</v>
      </c>
      <c r="E38" t="s">
        <v>9</v>
      </c>
      <c r="F38">
        <v>1</v>
      </c>
      <c r="G38">
        <v>1</v>
      </c>
      <c r="H38">
        <v>0</v>
      </c>
      <c r="I38">
        <v>0</v>
      </c>
      <c r="J38">
        <v>0</v>
      </c>
      <c r="K38" s="10" t="s">
        <v>60</v>
      </c>
    </row>
    <row r="39" spans="1:11" x14ac:dyDescent="0.25">
      <c r="A39">
        <v>2015</v>
      </c>
      <c r="B39" s="8">
        <v>42220</v>
      </c>
      <c r="C39" s="5">
        <f t="shared" si="0"/>
        <v>216</v>
      </c>
      <c r="D39" s="10">
        <v>10</v>
      </c>
      <c r="E39" t="s">
        <v>9</v>
      </c>
      <c r="F39">
        <v>4</v>
      </c>
      <c r="G39">
        <v>0</v>
      </c>
      <c r="H39">
        <v>0</v>
      </c>
      <c r="I39">
        <v>0</v>
      </c>
      <c r="J39">
        <v>0</v>
      </c>
      <c r="K39" s="10" t="s">
        <v>60</v>
      </c>
    </row>
    <row r="40" spans="1:11" x14ac:dyDescent="0.25">
      <c r="A40">
        <v>2015</v>
      </c>
      <c r="B40" s="8">
        <v>42220</v>
      </c>
      <c r="C40" s="5">
        <f t="shared" si="0"/>
        <v>216</v>
      </c>
      <c r="D40" s="10">
        <v>13</v>
      </c>
      <c r="E40" t="s">
        <v>9</v>
      </c>
      <c r="F40">
        <v>1</v>
      </c>
      <c r="G40">
        <v>0</v>
      </c>
      <c r="H40">
        <v>0</v>
      </c>
      <c r="I40">
        <v>0</v>
      </c>
      <c r="J40">
        <v>0</v>
      </c>
      <c r="K40" s="10" t="s">
        <v>60</v>
      </c>
    </row>
    <row r="41" spans="1:11" x14ac:dyDescent="0.25">
      <c r="A41">
        <v>2015</v>
      </c>
      <c r="B41" s="8">
        <v>42220</v>
      </c>
      <c r="C41" s="5">
        <f t="shared" si="0"/>
        <v>216</v>
      </c>
      <c r="D41" s="10">
        <v>3</v>
      </c>
      <c r="E41" t="s">
        <v>7</v>
      </c>
      <c r="F41">
        <v>21</v>
      </c>
      <c r="G41">
        <v>8</v>
      </c>
      <c r="H41">
        <v>0</v>
      </c>
      <c r="I41">
        <v>1</v>
      </c>
      <c r="J41">
        <v>0</v>
      </c>
      <c r="K41" s="10" t="s">
        <v>60</v>
      </c>
    </row>
    <row r="42" spans="1:11" x14ac:dyDescent="0.25">
      <c r="A42">
        <v>2015</v>
      </c>
      <c r="B42" s="8">
        <v>42220</v>
      </c>
      <c r="C42" s="5">
        <f t="shared" si="0"/>
        <v>216</v>
      </c>
      <c r="D42" s="10">
        <v>6</v>
      </c>
      <c r="E42" t="s">
        <v>7</v>
      </c>
      <c r="F42">
        <v>13</v>
      </c>
      <c r="G42">
        <v>1</v>
      </c>
      <c r="H42">
        <v>0</v>
      </c>
      <c r="I42">
        <v>0</v>
      </c>
      <c r="J42">
        <v>0</v>
      </c>
      <c r="K42" s="10" t="s">
        <v>60</v>
      </c>
    </row>
    <row r="43" spans="1:11" x14ac:dyDescent="0.25">
      <c r="A43">
        <v>2015</v>
      </c>
      <c r="B43" s="8">
        <v>42220</v>
      </c>
      <c r="C43" s="5">
        <f t="shared" si="0"/>
        <v>216</v>
      </c>
      <c r="D43" s="10">
        <v>9</v>
      </c>
      <c r="E43" t="s">
        <v>7</v>
      </c>
      <c r="F43">
        <v>105</v>
      </c>
      <c r="G43">
        <v>0</v>
      </c>
      <c r="H43">
        <v>0</v>
      </c>
      <c r="I43">
        <v>0</v>
      </c>
      <c r="J43">
        <v>0</v>
      </c>
      <c r="K43" s="10" t="s">
        <v>60</v>
      </c>
    </row>
    <row r="44" spans="1:11" x14ac:dyDescent="0.25">
      <c r="A44">
        <v>2015</v>
      </c>
      <c r="B44" s="8">
        <v>42220</v>
      </c>
      <c r="C44" s="5">
        <f t="shared" si="0"/>
        <v>216</v>
      </c>
      <c r="D44" s="10">
        <v>12</v>
      </c>
      <c r="E44" t="s">
        <v>7</v>
      </c>
      <c r="F44">
        <v>17</v>
      </c>
      <c r="G44">
        <v>0</v>
      </c>
      <c r="H44">
        <v>0</v>
      </c>
      <c r="I44">
        <v>1</v>
      </c>
      <c r="J44">
        <v>0</v>
      </c>
      <c r="K44" s="10" t="s">
        <v>60</v>
      </c>
    </row>
    <row r="45" spans="1:11" x14ac:dyDescent="0.25">
      <c r="A45">
        <v>2015</v>
      </c>
      <c r="B45" s="8">
        <v>42220</v>
      </c>
      <c r="C45" s="5">
        <f t="shared" si="0"/>
        <v>216</v>
      </c>
      <c r="D45" s="10">
        <v>15</v>
      </c>
      <c r="E45" t="s">
        <v>7</v>
      </c>
      <c r="F45">
        <v>6</v>
      </c>
      <c r="G45">
        <v>0</v>
      </c>
      <c r="H45">
        <v>0</v>
      </c>
      <c r="I45">
        <v>0</v>
      </c>
      <c r="J45">
        <v>0</v>
      </c>
      <c r="K45" s="10" t="s">
        <v>60</v>
      </c>
    </row>
    <row r="46" spans="1:11" x14ac:dyDescent="0.25">
      <c r="A46">
        <v>2015</v>
      </c>
      <c r="B46" s="8">
        <v>42221</v>
      </c>
      <c r="C46" s="5">
        <f t="shared" si="0"/>
        <v>217</v>
      </c>
      <c r="D46" s="10">
        <v>2</v>
      </c>
      <c r="E46" t="s">
        <v>10</v>
      </c>
      <c r="F46">
        <v>0</v>
      </c>
      <c r="G46">
        <v>0</v>
      </c>
      <c r="H46">
        <v>0</v>
      </c>
      <c r="I46">
        <v>0</v>
      </c>
      <c r="J46">
        <v>0</v>
      </c>
      <c r="K46" s="10" t="s">
        <v>59</v>
      </c>
    </row>
    <row r="47" spans="1:11" x14ac:dyDescent="0.25">
      <c r="A47">
        <v>2015</v>
      </c>
      <c r="B47" s="8">
        <v>42221</v>
      </c>
      <c r="C47" s="5">
        <f t="shared" si="0"/>
        <v>217</v>
      </c>
      <c r="D47" s="10">
        <v>5</v>
      </c>
      <c r="E47" t="s">
        <v>10</v>
      </c>
      <c r="F47">
        <v>8</v>
      </c>
      <c r="G47">
        <v>0</v>
      </c>
      <c r="H47">
        <v>0</v>
      </c>
      <c r="I47">
        <v>0</v>
      </c>
      <c r="J47">
        <v>0</v>
      </c>
      <c r="K47" s="10" t="s">
        <v>59</v>
      </c>
    </row>
    <row r="48" spans="1:11" x14ac:dyDescent="0.25">
      <c r="A48">
        <v>2015</v>
      </c>
      <c r="B48" s="8">
        <v>42221</v>
      </c>
      <c r="C48" s="5">
        <f t="shared" si="0"/>
        <v>217</v>
      </c>
      <c r="D48" s="10">
        <v>8</v>
      </c>
      <c r="E48" t="s">
        <v>10</v>
      </c>
      <c r="F48">
        <v>0</v>
      </c>
      <c r="G48">
        <v>2</v>
      </c>
      <c r="H48">
        <v>0</v>
      </c>
      <c r="I48">
        <v>0</v>
      </c>
      <c r="J48">
        <v>0</v>
      </c>
      <c r="K48" s="10" t="s">
        <v>59</v>
      </c>
    </row>
    <row r="49" spans="1:11" x14ac:dyDescent="0.25">
      <c r="A49">
        <v>2015</v>
      </c>
      <c r="B49" s="8">
        <v>42221</v>
      </c>
      <c r="C49" s="5">
        <f t="shared" si="0"/>
        <v>217</v>
      </c>
      <c r="D49" s="10">
        <v>11</v>
      </c>
      <c r="E49" t="s">
        <v>10</v>
      </c>
      <c r="F49">
        <v>1</v>
      </c>
      <c r="G49">
        <v>3</v>
      </c>
      <c r="H49">
        <v>0</v>
      </c>
      <c r="I49">
        <v>0</v>
      </c>
      <c r="J49">
        <v>0</v>
      </c>
      <c r="K49" s="10" t="s">
        <v>59</v>
      </c>
    </row>
    <row r="50" spans="1:11" x14ac:dyDescent="0.25">
      <c r="A50">
        <v>2015</v>
      </c>
      <c r="B50" s="8">
        <v>42221</v>
      </c>
      <c r="C50" s="5">
        <f t="shared" si="0"/>
        <v>217</v>
      </c>
      <c r="D50" s="10">
        <v>14</v>
      </c>
      <c r="E50" t="s">
        <v>10</v>
      </c>
      <c r="F50">
        <v>1</v>
      </c>
      <c r="G50">
        <v>4</v>
      </c>
      <c r="H50">
        <v>0</v>
      </c>
      <c r="I50">
        <v>0</v>
      </c>
      <c r="J50">
        <v>0</v>
      </c>
      <c r="K50" s="10" t="s">
        <v>59</v>
      </c>
    </row>
    <row r="51" spans="1:11" x14ac:dyDescent="0.25">
      <c r="A51">
        <v>2015</v>
      </c>
      <c r="B51" s="8">
        <v>42221</v>
      </c>
      <c r="C51" s="5">
        <f t="shared" si="0"/>
        <v>217</v>
      </c>
      <c r="D51" s="10">
        <v>4</v>
      </c>
      <c r="E51" t="s">
        <v>9</v>
      </c>
      <c r="F51">
        <v>0</v>
      </c>
      <c r="G51">
        <v>0</v>
      </c>
      <c r="H51">
        <v>0</v>
      </c>
      <c r="I51">
        <v>0</v>
      </c>
      <c r="J51">
        <v>0</v>
      </c>
      <c r="K51" s="10" t="s">
        <v>59</v>
      </c>
    </row>
    <row r="52" spans="1:11" x14ac:dyDescent="0.25">
      <c r="A52">
        <v>2015</v>
      </c>
      <c r="B52" s="8">
        <v>42221</v>
      </c>
      <c r="C52" s="5">
        <f t="shared" si="0"/>
        <v>217</v>
      </c>
      <c r="D52" s="10">
        <v>7</v>
      </c>
      <c r="E52" t="s">
        <v>9</v>
      </c>
      <c r="F52">
        <v>1</v>
      </c>
      <c r="G52">
        <v>0</v>
      </c>
      <c r="H52">
        <v>0</v>
      </c>
      <c r="I52">
        <v>0</v>
      </c>
      <c r="J52">
        <v>0</v>
      </c>
      <c r="K52" s="10" t="s">
        <v>59</v>
      </c>
    </row>
    <row r="53" spans="1:11" x14ac:dyDescent="0.25">
      <c r="A53">
        <v>2015</v>
      </c>
      <c r="B53" s="8">
        <v>42221</v>
      </c>
      <c r="C53" s="5">
        <f t="shared" si="0"/>
        <v>217</v>
      </c>
      <c r="D53" s="10">
        <v>10</v>
      </c>
      <c r="E53" t="s">
        <v>9</v>
      </c>
      <c r="F53">
        <v>0</v>
      </c>
      <c r="G53">
        <v>2</v>
      </c>
      <c r="H53">
        <v>0</v>
      </c>
      <c r="I53">
        <v>0</v>
      </c>
      <c r="J53">
        <v>0</v>
      </c>
      <c r="K53" s="10" t="s">
        <v>59</v>
      </c>
    </row>
    <row r="54" spans="1:11" x14ac:dyDescent="0.25">
      <c r="A54">
        <v>2015</v>
      </c>
      <c r="B54" s="8">
        <v>42221</v>
      </c>
      <c r="C54" s="5">
        <f t="shared" si="0"/>
        <v>217</v>
      </c>
      <c r="D54" s="10">
        <v>13</v>
      </c>
      <c r="E54" t="s">
        <v>9</v>
      </c>
      <c r="F54">
        <v>1</v>
      </c>
      <c r="G54">
        <v>2</v>
      </c>
      <c r="H54">
        <v>0</v>
      </c>
      <c r="I54">
        <v>0</v>
      </c>
      <c r="J54">
        <v>0</v>
      </c>
      <c r="K54" s="10" t="s">
        <v>59</v>
      </c>
    </row>
    <row r="55" spans="1:11" x14ac:dyDescent="0.25">
      <c r="A55">
        <v>2015</v>
      </c>
      <c r="B55" s="8">
        <v>42221</v>
      </c>
      <c r="C55" s="5">
        <f t="shared" si="0"/>
        <v>217</v>
      </c>
      <c r="D55" s="10">
        <v>3</v>
      </c>
      <c r="E55" t="s">
        <v>7</v>
      </c>
      <c r="F55">
        <v>10</v>
      </c>
      <c r="G55">
        <v>3</v>
      </c>
      <c r="H55">
        <v>0</v>
      </c>
      <c r="I55">
        <v>0</v>
      </c>
      <c r="J55">
        <v>0</v>
      </c>
      <c r="K55" s="10" t="s">
        <v>59</v>
      </c>
    </row>
    <row r="56" spans="1:11" x14ac:dyDescent="0.25">
      <c r="A56">
        <v>2015</v>
      </c>
      <c r="B56" s="8">
        <v>42221</v>
      </c>
      <c r="C56" s="5">
        <f t="shared" si="0"/>
        <v>217</v>
      </c>
      <c r="D56" s="10">
        <v>6</v>
      </c>
      <c r="E56" t="s">
        <v>7</v>
      </c>
      <c r="F56">
        <v>15</v>
      </c>
      <c r="G56">
        <v>1</v>
      </c>
      <c r="H56">
        <v>0</v>
      </c>
      <c r="I56">
        <v>0</v>
      </c>
      <c r="J56">
        <v>0</v>
      </c>
      <c r="K56" s="10" t="s">
        <v>59</v>
      </c>
    </row>
    <row r="57" spans="1:11" x14ac:dyDescent="0.25">
      <c r="A57">
        <v>2015</v>
      </c>
      <c r="B57" s="8">
        <v>42221</v>
      </c>
      <c r="C57" s="5">
        <f t="shared" si="0"/>
        <v>217</v>
      </c>
      <c r="D57" s="10">
        <v>9</v>
      </c>
      <c r="E57" t="s">
        <v>7</v>
      </c>
      <c r="F57">
        <v>11</v>
      </c>
      <c r="G57">
        <v>0</v>
      </c>
      <c r="H57">
        <v>0</v>
      </c>
      <c r="I57">
        <v>0</v>
      </c>
      <c r="J57">
        <v>0</v>
      </c>
      <c r="K57" s="10" t="s">
        <v>59</v>
      </c>
    </row>
    <row r="58" spans="1:11" x14ac:dyDescent="0.25">
      <c r="A58">
        <v>2015</v>
      </c>
      <c r="B58" s="8">
        <v>42221</v>
      </c>
      <c r="C58" s="5">
        <f t="shared" si="0"/>
        <v>217</v>
      </c>
      <c r="D58" s="10">
        <v>12</v>
      </c>
      <c r="E58" t="s">
        <v>7</v>
      </c>
      <c r="F58">
        <v>40</v>
      </c>
      <c r="G58">
        <v>2</v>
      </c>
      <c r="H58">
        <v>0</v>
      </c>
      <c r="I58">
        <v>0</v>
      </c>
      <c r="J58">
        <v>0</v>
      </c>
      <c r="K58" s="10" t="s">
        <v>59</v>
      </c>
    </row>
    <row r="59" spans="1:11" x14ac:dyDescent="0.25">
      <c r="A59">
        <v>2015</v>
      </c>
      <c r="B59" s="8">
        <v>42221</v>
      </c>
      <c r="C59" s="5">
        <f t="shared" si="0"/>
        <v>217</v>
      </c>
      <c r="D59" s="10">
        <v>15</v>
      </c>
      <c r="E59" t="s">
        <v>7</v>
      </c>
      <c r="F59">
        <v>19</v>
      </c>
      <c r="G59">
        <v>9</v>
      </c>
      <c r="H59">
        <v>0</v>
      </c>
      <c r="I59">
        <v>0</v>
      </c>
      <c r="J59">
        <v>0</v>
      </c>
      <c r="K59" s="10" t="s">
        <v>59</v>
      </c>
    </row>
    <row r="60" spans="1:11" x14ac:dyDescent="0.25">
      <c r="A60">
        <v>2015</v>
      </c>
      <c r="B60" s="8">
        <v>42222</v>
      </c>
      <c r="C60" s="5">
        <f t="shared" si="0"/>
        <v>218</v>
      </c>
      <c r="D60" s="10">
        <v>2</v>
      </c>
      <c r="E60" t="s">
        <v>10</v>
      </c>
      <c r="F60">
        <v>0</v>
      </c>
      <c r="G60">
        <v>0</v>
      </c>
      <c r="H60">
        <v>0</v>
      </c>
      <c r="I60">
        <v>0</v>
      </c>
      <c r="J60">
        <v>0</v>
      </c>
      <c r="K60" s="10" t="s">
        <v>60</v>
      </c>
    </row>
    <row r="61" spans="1:11" x14ac:dyDescent="0.25">
      <c r="A61">
        <v>2015</v>
      </c>
      <c r="B61" s="8">
        <v>42222</v>
      </c>
      <c r="C61" s="5">
        <f t="shared" si="0"/>
        <v>218</v>
      </c>
      <c r="D61" s="10">
        <v>5</v>
      </c>
      <c r="E61" t="s">
        <v>10</v>
      </c>
      <c r="F61">
        <v>0</v>
      </c>
      <c r="G61">
        <v>0</v>
      </c>
      <c r="H61">
        <v>0</v>
      </c>
      <c r="I61">
        <v>0</v>
      </c>
      <c r="J61">
        <v>0</v>
      </c>
      <c r="K61" s="10" t="s">
        <v>60</v>
      </c>
    </row>
    <row r="62" spans="1:11" x14ac:dyDescent="0.25">
      <c r="A62">
        <v>2015</v>
      </c>
      <c r="B62" s="8">
        <v>42222</v>
      </c>
      <c r="C62" s="5">
        <f t="shared" si="0"/>
        <v>218</v>
      </c>
      <c r="D62" s="10">
        <v>8</v>
      </c>
      <c r="E62" t="s">
        <v>10</v>
      </c>
      <c r="F62">
        <v>4</v>
      </c>
      <c r="G62">
        <v>0</v>
      </c>
      <c r="H62">
        <v>0</v>
      </c>
      <c r="I62">
        <v>0</v>
      </c>
      <c r="J62">
        <v>0</v>
      </c>
      <c r="K62" s="10" t="s">
        <v>60</v>
      </c>
    </row>
    <row r="63" spans="1:11" x14ac:dyDescent="0.25">
      <c r="A63">
        <v>2015</v>
      </c>
      <c r="B63" s="8">
        <v>42222</v>
      </c>
      <c r="C63" s="5">
        <f t="shared" si="0"/>
        <v>218</v>
      </c>
      <c r="D63" s="10">
        <v>11</v>
      </c>
      <c r="E63" t="s">
        <v>10</v>
      </c>
      <c r="F63">
        <v>11</v>
      </c>
      <c r="G63">
        <v>0</v>
      </c>
      <c r="H63">
        <v>0</v>
      </c>
      <c r="I63">
        <v>0</v>
      </c>
      <c r="J63">
        <v>0</v>
      </c>
      <c r="K63" s="10" t="s">
        <v>60</v>
      </c>
    </row>
    <row r="64" spans="1:11" x14ac:dyDescent="0.25">
      <c r="A64">
        <v>2015</v>
      </c>
      <c r="B64" s="8">
        <v>42222</v>
      </c>
      <c r="C64" s="5">
        <f t="shared" si="0"/>
        <v>218</v>
      </c>
      <c r="D64" s="10">
        <v>14</v>
      </c>
      <c r="E64" t="s">
        <v>10</v>
      </c>
      <c r="F64">
        <v>1</v>
      </c>
      <c r="G64">
        <v>0</v>
      </c>
      <c r="H64">
        <v>0</v>
      </c>
      <c r="I64">
        <v>0</v>
      </c>
      <c r="J64">
        <v>0</v>
      </c>
      <c r="K64" s="10" t="s">
        <v>60</v>
      </c>
    </row>
    <row r="65" spans="1:11" x14ac:dyDescent="0.25">
      <c r="A65">
        <v>2015</v>
      </c>
      <c r="B65" s="8">
        <v>42222</v>
      </c>
      <c r="C65" s="5">
        <f t="shared" si="0"/>
        <v>218</v>
      </c>
      <c r="D65" s="10">
        <v>4</v>
      </c>
      <c r="E65" t="s">
        <v>9</v>
      </c>
      <c r="F65">
        <v>0</v>
      </c>
      <c r="G65">
        <v>2</v>
      </c>
      <c r="H65">
        <v>0</v>
      </c>
      <c r="I65">
        <v>0</v>
      </c>
      <c r="J65">
        <v>0</v>
      </c>
      <c r="K65" s="10" t="s">
        <v>60</v>
      </c>
    </row>
    <row r="66" spans="1:11" x14ac:dyDescent="0.25">
      <c r="A66">
        <v>2015</v>
      </c>
      <c r="B66" s="8">
        <v>42222</v>
      </c>
      <c r="C66" s="5">
        <f t="shared" ref="C66:C129" si="1">B66-DATE(YEAR(B66),1,0)</f>
        <v>218</v>
      </c>
      <c r="D66" s="10">
        <v>7</v>
      </c>
      <c r="E66" t="s">
        <v>9</v>
      </c>
      <c r="F66">
        <v>4</v>
      </c>
      <c r="G66">
        <v>0</v>
      </c>
      <c r="H66">
        <v>0</v>
      </c>
      <c r="I66">
        <v>0</v>
      </c>
      <c r="J66">
        <v>0</v>
      </c>
      <c r="K66" s="10" t="s">
        <v>60</v>
      </c>
    </row>
    <row r="67" spans="1:11" x14ac:dyDescent="0.25">
      <c r="A67">
        <v>2015</v>
      </c>
      <c r="B67" s="8">
        <v>42222</v>
      </c>
      <c r="C67" s="5">
        <f t="shared" si="1"/>
        <v>218</v>
      </c>
      <c r="D67" s="10">
        <v>10</v>
      </c>
      <c r="E67" t="s">
        <v>9</v>
      </c>
      <c r="F67">
        <v>3</v>
      </c>
      <c r="G67">
        <v>0</v>
      </c>
      <c r="H67">
        <v>0</v>
      </c>
      <c r="I67">
        <v>0</v>
      </c>
      <c r="J67">
        <v>0</v>
      </c>
      <c r="K67" s="10" t="s">
        <v>60</v>
      </c>
    </row>
    <row r="68" spans="1:11" x14ac:dyDescent="0.25">
      <c r="A68">
        <v>2015</v>
      </c>
      <c r="B68" s="8">
        <v>42222</v>
      </c>
      <c r="C68" s="5">
        <f t="shared" si="1"/>
        <v>218</v>
      </c>
      <c r="D68" s="10">
        <v>13</v>
      </c>
      <c r="E68" t="s">
        <v>9</v>
      </c>
      <c r="F68">
        <v>0</v>
      </c>
      <c r="G68">
        <v>0</v>
      </c>
      <c r="H68">
        <v>0</v>
      </c>
      <c r="I68">
        <v>0</v>
      </c>
      <c r="J68">
        <v>0</v>
      </c>
      <c r="K68" s="10" t="s">
        <v>60</v>
      </c>
    </row>
    <row r="69" spans="1:11" x14ac:dyDescent="0.25">
      <c r="A69">
        <v>2015</v>
      </c>
      <c r="B69" s="8">
        <v>42222</v>
      </c>
      <c r="C69" s="5">
        <f t="shared" si="1"/>
        <v>218</v>
      </c>
      <c r="D69" s="10">
        <v>3</v>
      </c>
      <c r="E69" t="s">
        <v>7</v>
      </c>
      <c r="F69">
        <v>5</v>
      </c>
      <c r="G69">
        <v>0</v>
      </c>
      <c r="H69">
        <v>0</v>
      </c>
      <c r="I69">
        <v>0</v>
      </c>
      <c r="J69">
        <v>0</v>
      </c>
      <c r="K69" s="10" t="s">
        <v>60</v>
      </c>
    </row>
    <row r="70" spans="1:11" x14ac:dyDescent="0.25">
      <c r="A70">
        <v>2015</v>
      </c>
      <c r="B70" s="8">
        <v>42222</v>
      </c>
      <c r="C70" s="5">
        <f t="shared" si="1"/>
        <v>218</v>
      </c>
      <c r="D70" s="10">
        <v>6</v>
      </c>
      <c r="E70" t="s">
        <v>7</v>
      </c>
      <c r="F70">
        <v>6</v>
      </c>
      <c r="G70">
        <v>0</v>
      </c>
      <c r="H70">
        <v>0</v>
      </c>
      <c r="I70">
        <v>0</v>
      </c>
      <c r="J70">
        <v>0</v>
      </c>
      <c r="K70" s="10" t="s">
        <v>60</v>
      </c>
    </row>
    <row r="71" spans="1:11" x14ac:dyDescent="0.25">
      <c r="A71">
        <v>2015</v>
      </c>
      <c r="B71" s="8">
        <v>42222</v>
      </c>
      <c r="C71" s="5">
        <f t="shared" si="1"/>
        <v>218</v>
      </c>
      <c r="D71" s="10">
        <v>9</v>
      </c>
      <c r="E71" t="s">
        <v>7</v>
      </c>
      <c r="F71">
        <v>73</v>
      </c>
      <c r="G71">
        <v>0</v>
      </c>
      <c r="H71">
        <v>0</v>
      </c>
      <c r="I71">
        <v>0</v>
      </c>
      <c r="J71">
        <v>0</v>
      </c>
      <c r="K71" s="10" t="s">
        <v>60</v>
      </c>
    </row>
    <row r="72" spans="1:11" x14ac:dyDescent="0.25">
      <c r="A72">
        <v>2015</v>
      </c>
      <c r="B72" s="8">
        <v>42222</v>
      </c>
      <c r="C72" s="5">
        <f t="shared" si="1"/>
        <v>218</v>
      </c>
      <c r="D72" s="10">
        <v>12</v>
      </c>
      <c r="E72" t="s">
        <v>7</v>
      </c>
      <c r="F72">
        <v>19</v>
      </c>
      <c r="G72">
        <v>1</v>
      </c>
      <c r="H72">
        <v>0</v>
      </c>
      <c r="I72">
        <v>1</v>
      </c>
      <c r="J72">
        <v>0</v>
      </c>
      <c r="K72" s="10" t="s">
        <v>60</v>
      </c>
    </row>
    <row r="73" spans="1:11" x14ac:dyDescent="0.25">
      <c r="A73">
        <v>2015</v>
      </c>
      <c r="B73" s="8">
        <v>42222</v>
      </c>
      <c r="C73" s="5">
        <f t="shared" si="1"/>
        <v>218</v>
      </c>
      <c r="D73" s="10">
        <v>15</v>
      </c>
      <c r="E73" t="s">
        <v>7</v>
      </c>
      <c r="F73">
        <v>6</v>
      </c>
      <c r="G73">
        <v>0</v>
      </c>
      <c r="H73">
        <v>0</v>
      </c>
      <c r="I73">
        <v>0</v>
      </c>
      <c r="J73">
        <v>0</v>
      </c>
      <c r="K73" s="10" t="s">
        <v>60</v>
      </c>
    </row>
    <row r="74" spans="1:11" x14ac:dyDescent="0.25">
      <c r="A74">
        <v>2015</v>
      </c>
      <c r="B74" s="8">
        <v>42223</v>
      </c>
      <c r="C74" s="5">
        <f t="shared" si="1"/>
        <v>219</v>
      </c>
      <c r="D74" s="10">
        <v>2</v>
      </c>
      <c r="E74" t="s">
        <v>10</v>
      </c>
      <c r="F74">
        <v>0</v>
      </c>
      <c r="G74">
        <v>7</v>
      </c>
      <c r="H74">
        <v>0</v>
      </c>
      <c r="I74">
        <v>0</v>
      </c>
      <c r="J74">
        <v>0</v>
      </c>
      <c r="K74" s="10" t="s">
        <v>59</v>
      </c>
    </row>
    <row r="75" spans="1:11" x14ac:dyDescent="0.25">
      <c r="A75">
        <v>2015</v>
      </c>
      <c r="B75" s="8">
        <v>42223</v>
      </c>
      <c r="C75" s="5">
        <f t="shared" si="1"/>
        <v>219</v>
      </c>
      <c r="D75" s="10">
        <v>5</v>
      </c>
      <c r="E75" t="s">
        <v>10</v>
      </c>
      <c r="F75">
        <v>1</v>
      </c>
      <c r="G75">
        <v>0</v>
      </c>
      <c r="H75">
        <v>0</v>
      </c>
      <c r="I75">
        <v>0</v>
      </c>
      <c r="J75">
        <v>0</v>
      </c>
      <c r="K75" s="10" t="s">
        <v>59</v>
      </c>
    </row>
    <row r="76" spans="1:11" x14ac:dyDescent="0.25">
      <c r="A76">
        <v>2015</v>
      </c>
      <c r="B76" s="8">
        <v>42223</v>
      </c>
      <c r="C76" s="5">
        <f t="shared" si="1"/>
        <v>219</v>
      </c>
      <c r="D76" s="10">
        <v>8</v>
      </c>
      <c r="E76" t="s">
        <v>10</v>
      </c>
      <c r="F76">
        <v>0</v>
      </c>
      <c r="G76">
        <v>4</v>
      </c>
      <c r="H76">
        <v>0</v>
      </c>
      <c r="I76">
        <v>0</v>
      </c>
      <c r="J76">
        <v>0</v>
      </c>
      <c r="K76" s="10" t="s">
        <v>59</v>
      </c>
    </row>
    <row r="77" spans="1:11" x14ac:dyDescent="0.25">
      <c r="A77">
        <v>2015</v>
      </c>
      <c r="B77" s="8">
        <v>42223</v>
      </c>
      <c r="C77" s="5">
        <f t="shared" si="1"/>
        <v>219</v>
      </c>
      <c r="D77" s="10">
        <v>11</v>
      </c>
      <c r="E77" t="s">
        <v>10</v>
      </c>
      <c r="F77">
        <v>0</v>
      </c>
      <c r="G77">
        <v>0</v>
      </c>
      <c r="H77">
        <v>0</v>
      </c>
      <c r="I77">
        <v>0</v>
      </c>
      <c r="J77">
        <v>0</v>
      </c>
      <c r="K77" s="10" t="s">
        <v>59</v>
      </c>
    </row>
    <row r="78" spans="1:11" x14ac:dyDescent="0.25">
      <c r="A78">
        <v>2015</v>
      </c>
      <c r="B78" s="8">
        <v>42223</v>
      </c>
      <c r="C78" s="5">
        <f t="shared" si="1"/>
        <v>219</v>
      </c>
      <c r="D78" s="10">
        <v>14</v>
      </c>
      <c r="E78" t="s">
        <v>10</v>
      </c>
      <c r="F78">
        <v>0</v>
      </c>
      <c r="G78">
        <v>2</v>
      </c>
      <c r="H78">
        <v>1</v>
      </c>
      <c r="I78">
        <v>0</v>
      </c>
      <c r="J78">
        <v>0</v>
      </c>
      <c r="K78" s="10" t="s">
        <v>59</v>
      </c>
    </row>
    <row r="79" spans="1:11" x14ac:dyDescent="0.25">
      <c r="A79">
        <v>2015</v>
      </c>
      <c r="B79" s="8">
        <v>42223</v>
      </c>
      <c r="C79" s="5">
        <f t="shared" si="1"/>
        <v>219</v>
      </c>
      <c r="D79" s="10">
        <v>1</v>
      </c>
      <c r="E79" t="s">
        <v>9</v>
      </c>
      <c r="F79">
        <v>2</v>
      </c>
      <c r="G79">
        <v>0</v>
      </c>
      <c r="H79">
        <v>0</v>
      </c>
      <c r="I79">
        <v>0</v>
      </c>
      <c r="J79">
        <v>0</v>
      </c>
      <c r="K79" s="10" t="s">
        <v>59</v>
      </c>
    </row>
    <row r="80" spans="1:11" x14ac:dyDescent="0.25">
      <c r="A80">
        <v>2015</v>
      </c>
      <c r="B80" s="8">
        <v>42223</v>
      </c>
      <c r="C80" s="5">
        <f t="shared" si="1"/>
        <v>219</v>
      </c>
      <c r="D80" s="10">
        <v>4</v>
      </c>
      <c r="E80" t="s">
        <v>9</v>
      </c>
      <c r="F80">
        <v>0</v>
      </c>
      <c r="G80">
        <v>3</v>
      </c>
      <c r="H80">
        <v>0</v>
      </c>
      <c r="I80">
        <v>0</v>
      </c>
      <c r="J80">
        <v>0</v>
      </c>
      <c r="K80" s="10" t="s">
        <v>59</v>
      </c>
    </row>
    <row r="81" spans="1:11" x14ac:dyDescent="0.25">
      <c r="A81">
        <v>2015</v>
      </c>
      <c r="B81" s="8">
        <v>42223</v>
      </c>
      <c r="C81" s="5">
        <f t="shared" si="1"/>
        <v>219</v>
      </c>
      <c r="D81" s="10">
        <v>7</v>
      </c>
      <c r="E81" t="s">
        <v>9</v>
      </c>
      <c r="F81">
        <v>1</v>
      </c>
      <c r="G81">
        <v>0</v>
      </c>
      <c r="H81">
        <v>0</v>
      </c>
      <c r="I81">
        <v>0</v>
      </c>
      <c r="J81">
        <v>0</v>
      </c>
      <c r="K81" s="10" t="s">
        <v>59</v>
      </c>
    </row>
    <row r="82" spans="1:11" x14ac:dyDescent="0.25">
      <c r="A82">
        <v>2015</v>
      </c>
      <c r="B82" s="8">
        <v>42223</v>
      </c>
      <c r="C82" s="5">
        <f t="shared" si="1"/>
        <v>219</v>
      </c>
      <c r="D82" s="10">
        <v>10</v>
      </c>
      <c r="E82" t="s">
        <v>9</v>
      </c>
      <c r="F82">
        <v>1</v>
      </c>
      <c r="G82">
        <v>4</v>
      </c>
      <c r="H82">
        <v>0</v>
      </c>
      <c r="I82">
        <v>0</v>
      </c>
      <c r="J82">
        <v>0</v>
      </c>
      <c r="K82" s="10" t="s">
        <v>59</v>
      </c>
    </row>
    <row r="83" spans="1:11" x14ac:dyDescent="0.25">
      <c r="A83">
        <v>2015</v>
      </c>
      <c r="B83" s="8">
        <v>42223</v>
      </c>
      <c r="C83" s="5">
        <f t="shared" si="1"/>
        <v>219</v>
      </c>
      <c r="D83" s="10">
        <v>13</v>
      </c>
      <c r="E83" t="s">
        <v>9</v>
      </c>
      <c r="F83">
        <v>1</v>
      </c>
      <c r="G83">
        <v>2</v>
      </c>
      <c r="H83">
        <v>0</v>
      </c>
      <c r="I83">
        <v>0</v>
      </c>
      <c r="J83">
        <v>0</v>
      </c>
      <c r="K83" s="10" t="s">
        <v>59</v>
      </c>
    </row>
    <row r="84" spans="1:11" x14ac:dyDescent="0.25">
      <c r="A84">
        <v>2015</v>
      </c>
      <c r="B84" s="8">
        <v>42223</v>
      </c>
      <c r="C84" s="5">
        <f t="shared" si="1"/>
        <v>219</v>
      </c>
      <c r="D84" s="10">
        <v>3</v>
      </c>
      <c r="E84" t="s">
        <v>7</v>
      </c>
      <c r="F84">
        <v>7</v>
      </c>
      <c r="G84">
        <v>0</v>
      </c>
      <c r="H84">
        <v>0</v>
      </c>
      <c r="I84">
        <v>0</v>
      </c>
      <c r="J84">
        <v>0</v>
      </c>
      <c r="K84" s="10" t="s">
        <v>59</v>
      </c>
    </row>
    <row r="85" spans="1:11" x14ac:dyDescent="0.25">
      <c r="A85">
        <v>2015</v>
      </c>
      <c r="B85" s="8">
        <v>42223</v>
      </c>
      <c r="C85" s="5">
        <f t="shared" si="1"/>
        <v>219</v>
      </c>
      <c r="D85" s="10">
        <v>6</v>
      </c>
      <c r="E85" t="s">
        <v>7</v>
      </c>
      <c r="F85">
        <v>1</v>
      </c>
      <c r="G85">
        <v>0</v>
      </c>
      <c r="H85">
        <v>0</v>
      </c>
      <c r="I85">
        <v>0</v>
      </c>
      <c r="J85">
        <v>0</v>
      </c>
      <c r="K85" s="10" t="s">
        <v>59</v>
      </c>
    </row>
    <row r="86" spans="1:11" x14ac:dyDescent="0.25">
      <c r="A86">
        <v>2015</v>
      </c>
      <c r="B86" s="8">
        <v>42223</v>
      </c>
      <c r="C86" s="5">
        <f t="shared" si="1"/>
        <v>219</v>
      </c>
      <c r="D86" s="10">
        <v>9</v>
      </c>
      <c r="E86" t="s">
        <v>7</v>
      </c>
      <c r="F86">
        <v>8</v>
      </c>
      <c r="G86">
        <v>0</v>
      </c>
      <c r="H86">
        <v>0</v>
      </c>
      <c r="I86">
        <v>0</v>
      </c>
      <c r="J86">
        <v>0</v>
      </c>
      <c r="K86" s="10" t="s">
        <v>59</v>
      </c>
    </row>
    <row r="87" spans="1:11" x14ac:dyDescent="0.25">
      <c r="A87">
        <v>2015</v>
      </c>
      <c r="B87" s="8">
        <v>42223</v>
      </c>
      <c r="C87" s="5">
        <f t="shared" si="1"/>
        <v>219</v>
      </c>
      <c r="D87" s="10">
        <v>12</v>
      </c>
      <c r="E87" t="s">
        <v>7</v>
      </c>
      <c r="F87">
        <v>6</v>
      </c>
      <c r="G87">
        <v>1</v>
      </c>
      <c r="H87">
        <v>0</v>
      </c>
      <c r="I87">
        <v>0</v>
      </c>
      <c r="J87">
        <v>0</v>
      </c>
      <c r="K87" s="10" t="s">
        <v>59</v>
      </c>
    </row>
    <row r="88" spans="1:11" x14ac:dyDescent="0.25">
      <c r="A88">
        <v>2015</v>
      </c>
      <c r="B88" s="8">
        <v>42223</v>
      </c>
      <c r="C88" s="5">
        <f t="shared" si="1"/>
        <v>219</v>
      </c>
      <c r="D88" s="10">
        <v>15</v>
      </c>
      <c r="E88" t="s">
        <v>7</v>
      </c>
      <c r="F88">
        <v>2</v>
      </c>
      <c r="G88">
        <v>3</v>
      </c>
      <c r="H88">
        <v>0</v>
      </c>
      <c r="I88">
        <v>0</v>
      </c>
      <c r="J88">
        <v>0</v>
      </c>
      <c r="K88" s="10" t="s">
        <v>59</v>
      </c>
    </row>
    <row r="89" spans="1:11" x14ac:dyDescent="0.25">
      <c r="A89">
        <v>2015</v>
      </c>
      <c r="B89" s="8">
        <v>42225</v>
      </c>
      <c r="C89" s="5">
        <f t="shared" si="1"/>
        <v>221</v>
      </c>
      <c r="D89" s="10">
        <v>15</v>
      </c>
      <c r="E89" t="s">
        <v>7</v>
      </c>
      <c r="F89">
        <v>1</v>
      </c>
      <c r="G89">
        <v>1</v>
      </c>
      <c r="H89">
        <v>0</v>
      </c>
      <c r="I89">
        <v>0</v>
      </c>
      <c r="J89">
        <v>0</v>
      </c>
      <c r="K89" s="10" t="s">
        <v>60</v>
      </c>
    </row>
    <row r="90" spans="1:11" x14ac:dyDescent="0.25">
      <c r="A90">
        <v>2015</v>
      </c>
      <c r="B90" s="8">
        <v>42225</v>
      </c>
      <c r="C90" s="5">
        <f t="shared" si="1"/>
        <v>221</v>
      </c>
      <c r="D90" s="10">
        <v>2</v>
      </c>
      <c r="E90" t="s">
        <v>10</v>
      </c>
      <c r="F90">
        <v>0</v>
      </c>
      <c r="G90">
        <v>4</v>
      </c>
      <c r="H90">
        <v>0</v>
      </c>
      <c r="I90">
        <v>1</v>
      </c>
      <c r="J90">
        <v>0</v>
      </c>
      <c r="K90" s="10" t="s">
        <v>60</v>
      </c>
    </row>
    <row r="91" spans="1:11" x14ac:dyDescent="0.25">
      <c r="A91">
        <v>2015</v>
      </c>
      <c r="B91" s="8">
        <v>42225</v>
      </c>
      <c r="C91" s="5">
        <f t="shared" si="1"/>
        <v>221</v>
      </c>
      <c r="D91" s="10">
        <v>5</v>
      </c>
      <c r="E91" t="s">
        <v>10</v>
      </c>
      <c r="F91">
        <v>1</v>
      </c>
      <c r="G91">
        <v>0</v>
      </c>
      <c r="H91">
        <v>0</v>
      </c>
      <c r="I91">
        <v>0</v>
      </c>
      <c r="J91">
        <v>0</v>
      </c>
      <c r="K91" s="10" t="s">
        <v>60</v>
      </c>
    </row>
    <row r="92" spans="1:11" x14ac:dyDescent="0.25">
      <c r="A92">
        <v>2015</v>
      </c>
      <c r="B92" s="8">
        <v>42225</v>
      </c>
      <c r="C92" s="5">
        <f t="shared" si="1"/>
        <v>221</v>
      </c>
      <c r="D92" s="10">
        <v>8</v>
      </c>
      <c r="E92" t="s">
        <v>10</v>
      </c>
      <c r="F92">
        <v>3</v>
      </c>
      <c r="G92">
        <v>1</v>
      </c>
      <c r="H92">
        <v>0</v>
      </c>
      <c r="I92">
        <v>0</v>
      </c>
      <c r="J92">
        <v>0</v>
      </c>
      <c r="K92" s="10" t="s">
        <v>60</v>
      </c>
    </row>
    <row r="93" spans="1:11" x14ac:dyDescent="0.25">
      <c r="A93">
        <v>2015</v>
      </c>
      <c r="B93" s="8">
        <v>42225</v>
      </c>
      <c r="C93" s="5">
        <f t="shared" si="1"/>
        <v>221</v>
      </c>
      <c r="D93" s="10">
        <v>11</v>
      </c>
      <c r="E93" t="s">
        <v>10</v>
      </c>
      <c r="F93">
        <v>1</v>
      </c>
      <c r="G93">
        <v>0</v>
      </c>
      <c r="H93">
        <v>0</v>
      </c>
      <c r="I93">
        <v>0</v>
      </c>
      <c r="J93">
        <v>0</v>
      </c>
      <c r="K93" s="10" t="s">
        <v>60</v>
      </c>
    </row>
    <row r="94" spans="1:11" x14ac:dyDescent="0.25">
      <c r="A94">
        <v>2015</v>
      </c>
      <c r="B94" s="8">
        <v>42225</v>
      </c>
      <c r="C94" s="5">
        <f t="shared" si="1"/>
        <v>221</v>
      </c>
      <c r="D94" s="10">
        <v>14</v>
      </c>
      <c r="E94" t="s">
        <v>10</v>
      </c>
      <c r="F94">
        <v>0</v>
      </c>
      <c r="G94">
        <v>3</v>
      </c>
      <c r="H94">
        <v>0</v>
      </c>
      <c r="I94">
        <v>0</v>
      </c>
      <c r="J94">
        <v>0</v>
      </c>
      <c r="K94" s="10" t="s">
        <v>60</v>
      </c>
    </row>
    <row r="95" spans="1:11" x14ac:dyDescent="0.25">
      <c r="A95">
        <v>2015</v>
      </c>
      <c r="B95" s="8">
        <v>42225</v>
      </c>
      <c r="C95" s="5">
        <f t="shared" si="1"/>
        <v>221</v>
      </c>
      <c r="D95" s="10">
        <v>1</v>
      </c>
      <c r="E95" t="s">
        <v>9</v>
      </c>
      <c r="F95">
        <v>2</v>
      </c>
      <c r="G95">
        <v>3</v>
      </c>
      <c r="H95">
        <v>0</v>
      </c>
      <c r="I95">
        <v>0</v>
      </c>
      <c r="J95">
        <v>0</v>
      </c>
      <c r="K95" s="10" t="s">
        <v>60</v>
      </c>
    </row>
    <row r="96" spans="1:11" x14ac:dyDescent="0.25">
      <c r="A96">
        <v>2015</v>
      </c>
      <c r="B96" s="8">
        <v>42225</v>
      </c>
      <c r="C96" s="5">
        <f t="shared" si="1"/>
        <v>221</v>
      </c>
      <c r="D96" s="10">
        <v>4</v>
      </c>
      <c r="E96" t="s">
        <v>9</v>
      </c>
      <c r="F96">
        <v>1</v>
      </c>
      <c r="G96">
        <v>3</v>
      </c>
      <c r="H96">
        <v>0</v>
      </c>
      <c r="I96">
        <v>0</v>
      </c>
      <c r="J96">
        <v>0</v>
      </c>
      <c r="K96" s="10" t="s">
        <v>60</v>
      </c>
    </row>
    <row r="97" spans="1:11" x14ac:dyDescent="0.25">
      <c r="A97">
        <v>2015</v>
      </c>
      <c r="B97" s="8">
        <v>42225</v>
      </c>
      <c r="C97" s="5">
        <f t="shared" si="1"/>
        <v>221</v>
      </c>
      <c r="D97" s="10">
        <v>7</v>
      </c>
      <c r="E97" t="s">
        <v>9</v>
      </c>
      <c r="F97">
        <v>7</v>
      </c>
      <c r="G97">
        <v>0</v>
      </c>
      <c r="H97">
        <v>0</v>
      </c>
      <c r="I97">
        <v>0</v>
      </c>
      <c r="J97">
        <v>0</v>
      </c>
      <c r="K97" s="10" t="s">
        <v>60</v>
      </c>
    </row>
    <row r="98" spans="1:11" x14ac:dyDescent="0.25">
      <c r="A98">
        <v>2015</v>
      </c>
      <c r="B98" s="8">
        <v>42225</v>
      </c>
      <c r="C98" s="5">
        <f t="shared" si="1"/>
        <v>221</v>
      </c>
      <c r="D98" s="10">
        <v>10</v>
      </c>
      <c r="E98" t="s">
        <v>9</v>
      </c>
      <c r="F98">
        <v>64</v>
      </c>
      <c r="G98">
        <v>0</v>
      </c>
      <c r="H98">
        <v>0</v>
      </c>
      <c r="I98">
        <v>0</v>
      </c>
      <c r="J98">
        <v>0</v>
      </c>
      <c r="K98" s="10" t="s">
        <v>60</v>
      </c>
    </row>
    <row r="99" spans="1:11" x14ac:dyDescent="0.25">
      <c r="A99">
        <v>2015</v>
      </c>
      <c r="B99" s="8">
        <v>42225</v>
      </c>
      <c r="C99" s="5">
        <f t="shared" si="1"/>
        <v>221</v>
      </c>
      <c r="D99" s="10">
        <v>13</v>
      </c>
      <c r="E99" t="s">
        <v>9</v>
      </c>
      <c r="F99">
        <v>4</v>
      </c>
      <c r="G99">
        <v>1</v>
      </c>
      <c r="H99">
        <v>0</v>
      </c>
      <c r="I99">
        <v>0</v>
      </c>
      <c r="J99">
        <v>0</v>
      </c>
      <c r="K99" s="10" t="s">
        <v>60</v>
      </c>
    </row>
    <row r="100" spans="1:11" x14ac:dyDescent="0.25">
      <c r="A100">
        <v>2015</v>
      </c>
      <c r="B100" s="8">
        <v>42225</v>
      </c>
      <c r="C100" s="5">
        <f t="shared" si="1"/>
        <v>221</v>
      </c>
      <c r="D100" s="10">
        <v>3</v>
      </c>
      <c r="E100" t="s">
        <v>7</v>
      </c>
      <c r="F100">
        <v>0</v>
      </c>
      <c r="G100">
        <v>0</v>
      </c>
      <c r="H100">
        <v>0</v>
      </c>
      <c r="I100">
        <v>0</v>
      </c>
      <c r="J100">
        <v>0</v>
      </c>
      <c r="K100" s="10" t="s">
        <v>60</v>
      </c>
    </row>
    <row r="101" spans="1:11" x14ac:dyDescent="0.25">
      <c r="A101">
        <v>2015</v>
      </c>
      <c r="B101" s="8">
        <v>42225</v>
      </c>
      <c r="C101" s="5">
        <f t="shared" si="1"/>
        <v>221</v>
      </c>
      <c r="D101" s="10">
        <v>6</v>
      </c>
      <c r="E101" t="s">
        <v>7</v>
      </c>
      <c r="F101">
        <v>4</v>
      </c>
      <c r="G101">
        <v>0</v>
      </c>
      <c r="H101">
        <v>0</v>
      </c>
      <c r="I101">
        <v>0</v>
      </c>
      <c r="J101">
        <v>0</v>
      </c>
      <c r="K101" s="10" t="s">
        <v>60</v>
      </c>
    </row>
    <row r="102" spans="1:11" x14ac:dyDescent="0.25">
      <c r="A102">
        <v>2015</v>
      </c>
      <c r="B102" s="8">
        <v>42225</v>
      </c>
      <c r="C102" s="5">
        <f t="shared" si="1"/>
        <v>221</v>
      </c>
      <c r="D102" s="10">
        <v>9</v>
      </c>
      <c r="E102" t="s">
        <v>7</v>
      </c>
      <c r="F102">
        <v>8</v>
      </c>
      <c r="G102">
        <v>0</v>
      </c>
      <c r="H102">
        <v>0</v>
      </c>
      <c r="I102">
        <v>0</v>
      </c>
      <c r="J102">
        <v>0</v>
      </c>
      <c r="K102" s="10" t="s">
        <v>60</v>
      </c>
    </row>
    <row r="103" spans="1:11" x14ac:dyDescent="0.25">
      <c r="A103">
        <v>2015</v>
      </c>
      <c r="B103" s="8">
        <v>42225</v>
      </c>
      <c r="C103" s="5">
        <f t="shared" si="1"/>
        <v>221</v>
      </c>
      <c r="D103" s="10">
        <v>12</v>
      </c>
      <c r="E103" t="s">
        <v>7</v>
      </c>
      <c r="F103">
        <v>8</v>
      </c>
      <c r="G103">
        <v>3</v>
      </c>
      <c r="H103">
        <v>0</v>
      </c>
      <c r="I103">
        <v>0</v>
      </c>
      <c r="J103">
        <v>0</v>
      </c>
      <c r="K103" s="10" t="s">
        <v>60</v>
      </c>
    </row>
    <row r="104" spans="1:11" x14ac:dyDescent="0.25">
      <c r="A104">
        <v>2020</v>
      </c>
      <c r="B104" s="1">
        <v>44047</v>
      </c>
      <c r="C104" s="5">
        <f t="shared" si="1"/>
        <v>217</v>
      </c>
      <c r="D104">
        <v>2</v>
      </c>
      <c r="E104" t="s">
        <v>10</v>
      </c>
      <c r="F104">
        <v>1</v>
      </c>
      <c r="G104">
        <v>16</v>
      </c>
      <c r="H104">
        <v>0</v>
      </c>
      <c r="I104">
        <v>0</v>
      </c>
      <c r="J104">
        <v>0</v>
      </c>
      <c r="K104" s="10" t="s">
        <v>59</v>
      </c>
    </row>
    <row r="105" spans="1:11" x14ac:dyDescent="0.25">
      <c r="A105">
        <v>2020</v>
      </c>
      <c r="B105" s="1">
        <v>44047</v>
      </c>
      <c r="C105" s="5">
        <f t="shared" si="1"/>
        <v>217</v>
      </c>
      <c r="D105">
        <v>4</v>
      </c>
      <c r="E105" t="s">
        <v>10</v>
      </c>
      <c r="F105">
        <v>3</v>
      </c>
      <c r="G105">
        <v>1</v>
      </c>
      <c r="H105">
        <v>0</v>
      </c>
      <c r="I105">
        <v>0</v>
      </c>
      <c r="J105">
        <v>0</v>
      </c>
      <c r="K105" s="10" t="s">
        <v>59</v>
      </c>
    </row>
    <row r="106" spans="1:11" x14ac:dyDescent="0.25">
      <c r="A106">
        <v>2020</v>
      </c>
      <c r="B106" s="1">
        <v>44047</v>
      </c>
      <c r="C106" s="5">
        <f t="shared" si="1"/>
        <v>217</v>
      </c>
      <c r="D106">
        <v>15</v>
      </c>
      <c r="E106" t="s">
        <v>10</v>
      </c>
      <c r="F106">
        <v>1</v>
      </c>
      <c r="G106">
        <v>10</v>
      </c>
      <c r="H106">
        <v>0</v>
      </c>
      <c r="I106">
        <v>0</v>
      </c>
      <c r="J106">
        <v>0</v>
      </c>
      <c r="K106" s="10" t="s">
        <v>59</v>
      </c>
    </row>
    <row r="107" spans="1:11" x14ac:dyDescent="0.25">
      <c r="A107">
        <v>2020</v>
      </c>
      <c r="B107" s="1">
        <v>44047</v>
      </c>
      <c r="C107" s="5">
        <f t="shared" si="1"/>
        <v>217</v>
      </c>
      <c r="D107">
        <v>17</v>
      </c>
      <c r="E107" t="s">
        <v>10</v>
      </c>
      <c r="F107">
        <v>4</v>
      </c>
      <c r="G107">
        <v>8</v>
      </c>
      <c r="H107">
        <v>0</v>
      </c>
      <c r="I107">
        <v>0</v>
      </c>
      <c r="J107">
        <v>0</v>
      </c>
      <c r="K107" s="10" t="s">
        <v>59</v>
      </c>
    </row>
    <row r="108" spans="1:11" x14ac:dyDescent="0.25">
      <c r="A108">
        <v>2020</v>
      </c>
      <c r="B108" s="1">
        <v>44047</v>
      </c>
      <c r="C108" s="5">
        <f t="shared" si="1"/>
        <v>217</v>
      </c>
      <c r="D108">
        <v>18</v>
      </c>
      <c r="E108" t="s">
        <v>10</v>
      </c>
      <c r="F108">
        <v>2</v>
      </c>
      <c r="G108">
        <v>13</v>
      </c>
      <c r="H108">
        <v>0</v>
      </c>
      <c r="I108">
        <v>0</v>
      </c>
      <c r="J108">
        <v>0</v>
      </c>
      <c r="K108" s="10" t="s">
        <v>59</v>
      </c>
    </row>
    <row r="109" spans="1:11" x14ac:dyDescent="0.25">
      <c r="A109">
        <v>2020</v>
      </c>
      <c r="B109" s="1">
        <v>44047</v>
      </c>
      <c r="C109" s="5">
        <f t="shared" si="1"/>
        <v>217</v>
      </c>
      <c r="D109">
        <v>1</v>
      </c>
      <c r="E109" t="s">
        <v>9</v>
      </c>
      <c r="F109">
        <v>2</v>
      </c>
      <c r="G109">
        <v>10</v>
      </c>
      <c r="H109">
        <v>0</v>
      </c>
      <c r="I109">
        <v>0</v>
      </c>
      <c r="J109">
        <v>0</v>
      </c>
      <c r="K109" s="10" t="s">
        <v>59</v>
      </c>
    </row>
    <row r="110" spans="1:11" x14ac:dyDescent="0.25">
      <c r="A110">
        <v>2020</v>
      </c>
      <c r="B110" s="1">
        <v>44047</v>
      </c>
      <c r="C110" s="5">
        <f t="shared" si="1"/>
        <v>217</v>
      </c>
      <c r="D110">
        <v>10</v>
      </c>
      <c r="E110" t="s">
        <v>9</v>
      </c>
      <c r="F110">
        <v>0</v>
      </c>
      <c r="G110">
        <v>8</v>
      </c>
      <c r="H110">
        <v>0</v>
      </c>
      <c r="I110">
        <v>0</v>
      </c>
      <c r="J110">
        <v>0</v>
      </c>
      <c r="K110" s="10" t="s">
        <v>59</v>
      </c>
    </row>
    <row r="111" spans="1:11" x14ac:dyDescent="0.25">
      <c r="A111">
        <v>2020</v>
      </c>
      <c r="B111" s="1">
        <v>44047</v>
      </c>
      <c r="C111" s="5">
        <f t="shared" si="1"/>
        <v>217</v>
      </c>
      <c r="D111">
        <v>11</v>
      </c>
      <c r="E111" t="s">
        <v>9</v>
      </c>
      <c r="F111">
        <v>0</v>
      </c>
      <c r="G111">
        <v>0</v>
      </c>
      <c r="H111">
        <v>0</v>
      </c>
      <c r="I111">
        <v>0</v>
      </c>
      <c r="J111">
        <v>0</v>
      </c>
      <c r="K111" s="10" t="s">
        <v>59</v>
      </c>
    </row>
    <row r="112" spans="1:11" x14ac:dyDescent="0.25">
      <c r="A112">
        <v>2020</v>
      </c>
      <c r="B112" s="1">
        <v>44047</v>
      </c>
      <c r="C112" s="5">
        <f t="shared" si="1"/>
        <v>217</v>
      </c>
      <c r="D112">
        <v>12</v>
      </c>
      <c r="E112" t="s">
        <v>9</v>
      </c>
      <c r="F112">
        <v>1</v>
      </c>
      <c r="G112">
        <v>3</v>
      </c>
      <c r="H112">
        <v>0</v>
      </c>
      <c r="I112">
        <v>0</v>
      </c>
      <c r="J112">
        <v>0</v>
      </c>
      <c r="K112" s="10" t="s">
        <v>59</v>
      </c>
    </row>
    <row r="113" spans="1:12" x14ac:dyDescent="0.25">
      <c r="A113">
        <v>2020</v>
      </c>
      <c r="B113" s="1">
        <v>44047</v>
      </c>
      <c r="C113" s="5">
        <f t="shared" si="1"/>
        <v>217</v>
      </c>
      <c r="D113">
        <v>19</v>
      </c>
      <c r="E113" t="s">
        <v>9</v>
      </c>
      <c r="F113">
        <v>0</v>
      </c>
      <c r="G113">
        <v>1</v>
      </c>
      <c r="H113">
        <v>0</v>
      </c>
      <c r="I113">
        <v>0</v>
      </c>
      <c r="J113">
        <v>0</v>
      </c>
      <c r="K113" s="10" t="s">
        <v>59</v>
      </c>
    </row>
    <row r="114" spans="1:12" x14ac:dyDescent="0.25">
      <c r="A114">
        <v>2020</v>
      </c>
      <c r="B114" s="1">
        <v>44047</v>
      </c>
      <c r="C114" s="5">
        <f t="shared" si="1"/>
        <v>217</v>
      </c>
      <c r="D114">
        <v>6</v>
      </c>
      <c r="E114" t="s">
        <v>7</v>
      </c>
      <c r="F114">
        <v>73</v>
      </c>
      <c r="G114">
        <v>43</v>
      </c>
      <c r="H114">
        <v>0</v>
      </c>
      <c r="I114">
        <v>1</v>
      </c>
      <c r="J114">
        <v>0</v>
      </c>
      <c r="K114" s="10" t="s">
        <v>59</v>
      </c>
    </row>
    <row r="115" spans="1:12" x14ac:dyDescent="0.25">
      <c r="A115">
        <v>2020</v>
      </c>
      <c r="B115" s="1">
        <v>44047</v>
      </c>
      <c r="C115" s="5">
        <f t="shared" si="1"/>
        <v>217</v>
      </c>
      <c r="D115">
        <v>7</v>
      </c>
      <c r="E115" t="s">
        <v>7</v>
      </c>
      <c r="F115">
        <v>69</v>
      </c>
      <c r="G115">
        <v>8</v>
      </c>
      <c r="H115">
        <v>0</v>
      </c>
      <c r="I115">
        <v>0</v>
      </c>
      <c r="J115">
        <v>0</v>
      </c>
      <c r="K115" s="10" t="s">
        <v>59</v>
      </c>
    </row>
    <row r="116" spans="1:12" x14ac:dyDescent="0.25">
      <c r="A116">
        <v>2020</v>
      </c>
      <c r="B116" s="1">
        <v>44047</v>
      </c>
      <c r="C116" s="5">
        <f t="shared" si="1"/>
        <v>217</v>
      </c>
      <c r="D116">
        <v>8</v>
      </c>
      <c r="E116" t="s">
        <v>7</v>
      </c>
      <c r="F116">
        <v>9</v>
      </c>
      <c r="G116">
        <v>25</v>
      </c>
      <c r="H116">
        <v>0</v>
      </c>
      <c r="I116">
        <v>0</v>
      </c>
      <c r="J116">
        <v>0</v>
      </c>
      <c r="K116" s="10" t="s">
        <v>59</v>
      </c>
    </row>
    <row r="117" spans="1:12" x14ac:dyDescent="0.25">
      <c r="A117">
        <v>2020</v>
      </c>
      <c r="B117" s="1">
        <v>44047</v>
      </c>
      <c r="C117" s="5">
        <f t="shared" si="1"/>
        <v>217</v>
      </c>
      <c r="D117">
        <v>16</v>
      </c>
      <c r="E117" t="s">
        <v>7</v>
      </c>
      <c r="F117">
        <v>42</v>
      </c>
      <c r="G117">
        <v>8</v>
      </c>
      <c r="H117">
        <v>0</v>
      </c>
      <c r="I117">
        <v>0</v>
      </c>
      <c r="J117">
        <v>0</v>
      </c>
      <c r="K117" s="10" t="s">
        <v>59</v>
      </c>
    </row>
    <row r="118" spans="1:12" x14ac:dyDescent="0.25">
      <c r="A118">
        <v>2020</v>
      </c>
      <c r="B118" s="1">
        <v>44047</v>
      </c>
      <c r="C118" s="5">
        <f t="shared" si="1"/>
        <v>217</v>
      </c>
      <c r="D118">
        <v>20</v>
      </c>
      <c r="E118" t="s">
        <v>7</v>
      </c>
      <c r="F118">
        <v>142</v>
      </c>
      <c r="G118">
        <v>17</v>
      </c>
      <c r="H118">
        <v>0</v>
      </c>
      <c r="I118">
        <v>0</v>
      </c>
      <c r="J118">
        <v>0</v>
      </c>
      <c r="K118" s="10" t="s">
        <v>59</v>
      </c>
    </row>
    <row r="119" spans="1:12" x14ac:dyDescent="0.25">
      <c r="A119">
        <v>2020</v>
      </c>
      <c r="B119" s="1">
        <v>44047</v>
      </c>
      <c r="C119" s="5">
        <f t="shared" si="1"/>
        <v>217</v>
      </c>
      <c r="D119">
        <v>3</v>
      </c>
      <c r="E119" t="s">
        <v>8</v>
      </c>
      <c r="F119">
        <v>6</v>
      </c>
      <c r="G119">
        <v>9</v>
      </c>
      <c r="H119">
        <v>0</v>
      </c>
      <c r="I119">
        <v>0</v>
      </c>
      <c r="J119">
        <v>0</v>
      </c>
      <c r="K119" s="10" t="s">
        <v>59</v>
      </c>
    </row>
    <row r="120" spans="1:12" x14ac:dyDescent="0.25">
      <c r="A120">
        <v>2020</v>
      </c>
      <c r="B120" s="1">
        <v>44047</v>
      </c>
      <c r="C120" s="5">
        <f t="shared" si="1"/>
        <v>217</v>
      </c>
      <c r="D120">
        <v>5</v>
      </c>
      <c r="E120" t="s">
        <v>8</v>
      </c>
      <c r="F120">
        <v>2</v>
      </c>
      <c r="G120">
        <v>1</v>
      </c>
      <c r="H120">
        <v>0</v>
      </c>
      <c r="I120">
        <v>0</v>
      </c>
      <c r="J120">
        <v>0</v>
      </c>
      <c r="K120" s="10" t="s">
        <v>59</v>
      </c>
      <c r="L120" t="s">
        <v>58</v>
      </c>
    </row>
    <row r="121" spans="1:12" x14ac:dyDescent="0.25">
      <c r="A121">
        <v>2020</v>
      </c>
      <c r="B121" s="1">
        <v>44047</v>
      </c>
      <c r="C121" s="5">
        <f t="shared" si="1"/>
        <v>217</v>
      </c>
      <c r="D121">
        <v>9</v>
      </c>
      <c r="E121" t="s">
        <v>8</v>
      </c>
      <c r="F121">
        <v>3</v>
      </c>
      <c r="G121">
        <v>8</v>
      </c>
      <c r="H121">
        <v>0</v>
      </c>
      <c r="I121">
        <v>0</v>
      </c>
      <c r="J121">
        <v>0</v>
      </c>
      <c r="K121" s="10" t="s">
        <v>59</v>
      </c>
    </row>
    <row r="122" spans="1:12" x14ac:dyDescent="0.25">
      <c r="A122">
        <v>2020</v>
      </c>
      <c r="B122" s="1">
        <v>44047</v>
      </c>
      <c r="C122" s="5">
        <f t="shared" si="1"/>
        <v>217</v>
      </c>
      <c r="D122">
        <v>13</v>
      </c>
      <c r="E122" t="s">
        <v>8</v>
      </c>
      <c r="F122">
        <v>0</v>
      </c>
      <c r="G122">
        <v>2</v>
      </c>
      <c r="H122">
        <v>0</v>
      </c>
      <c r="I122">
        <v>0</v>
      </c>
      <c r="J122">
        <v>0</v>
      </c>
      <c r="K122" s="10" t="s">
        <v>59</v>
      </c>
    </row>
    <row r="123" spans="1:12" x14ac:dyDescent="0.25">
      <c r="A123">
        <v>2020</v>
      </c>
      <c r="B123" s="1">
        <v>44047</v>
      </c>
      <c r="C123" s="5">
        <f t="shared" si="1"/>
        <v>217</v>
      </c>
      <c r="D123">
        <v>14</v>
      </c>
      <c r="E123" t="s">
        <v>8</v>
      </c>
      <c r="F123">
        <v>9</v>
      </c>
      <c r="G123">
        <v>2</v>
      </c>
      <c r="H123">
        <v>0</v>
      </c>
      <c r="I123">
        <v>0</v>
      </c>
      <c r="J123">
        <v>0</v>
      </c>
      <c r="K123" s="10" t="s">
        <v>59</v>
      </c>
    </row>
    <row r="124" spans="1:12" x14ac:dyDescent="0.25">
      <c r="A124">
        <v>2020</v>
      </c>
      <c r="B124" s="1">
        <v>44048</v>
      </c>
      <c r="C124" s="5">
        <f t="shared" si="1"/>
        <v>218</v>
      </c>
      <c r="D124">
        <v>19</v>
      </c>
      <c r="E124" t="s">
        <v>10</v>
      </c>
      <c r="F124">
        <v>1</v>
      </c>
      <c r="G124">
        <v>0</v>
      </c>
      <c r="H124">
        <v>0</v>
      </c>
      <c r="I124">
        <v>0</v>
      </c>
      <c r="J124">
        <v>0</v>
      </c>
      <c r="K124" s="10" t="s">
        <v>59</v>
      </c>
    </row>
    <row r="125" spans="1:12" x14ac:dyDescent="0.25">
      <c r="A125">
        <v>2020</v>
      </c>
      <c r="B125" s="1">
        <v>44048</v>
      </c>
      <c r="C125" s="5">
        <f t="shared" si="1"/>
        <v>218</v>
      </c>
      <c r="D125">
        <v>18</v>
      </c>
      <c r="E125" t="s">
        <v>10</v>
      </c>
      <c r="F125">
        <v>0</v>
      </c>
      <c r="G125">
        <v>0</v>
      </c>
      <c r="H125">
        <v>0</v>
      </c>
      <c r="I125">
        <v>0</v>
      </c>
      <c r="J125">
        <v>0</v>
      </c>
      <c r="K125" s="10" t="s">
        <v>59</v>
      </c>
    </row>
    <row r="126" spans="1:12" x14ac:dyDescent="0.25">
      <c r="A126">
        <v>2020</v>
      </c>
      <c r="B126" s="1">
        <v>44048</v>
      </c>
      <c r="C126" s="5">
        <f t="shared" si="1"/>
        <v>218</v>
      </c>
      <c r="D126">
        <v>16</v>
      </c>
      <c r="E126" t="s">
        <v>10</v>
      </c>
      <c r="F126">
        <v>0</v>
      </c>
      <c r="G126">
        <v>0</v>
      </c>
      <c r="H126">
        <v>0</v>
      </c>
      <c r="I126">
        <v>0</v>
      </c>
      <c r="J126">
        <v>0</v>
      </c>
      <c r="K126" s="10" t="s">
        <v>59</v>
      </c>
    </row>
    <row r="127" spans="1:12" x14ac:dyDescent="0.25">
      <c r="A127">
        <v>2020</v>
      </c>
      <c r="B127" s="1">
        <v>44048</v>
      </c>
      <c r="C127" s="5">
        <f t="shared" si="1"/>
        <v>218</v>
      </c>
      <c r="D127">
        <v>14</v>
      </c>
      <c r="E127" t="s">
        <v>10</v>
      </c>
      <c r="F127">
        <v>0</v>
      </c>
      <c r="G127">
        <v>0</v>
      </c>
      <c r="H127">
        <v>0</v>
      </c>
      <c r="I127">
        <v>0</v>
      </c>
      <c r="J127">
        <v>0</v>
      </c>
      <c r="K127" s="10" t="s">
        <v>59</v>
      </c>
    </row>
    <row r="128" spans="1:12" x14ac:dyDescent="0.25">
      <c r="A128">
        <v>2020</v>
      </c>
      <c r="B128" s="1">
        <v>44048</v>
      </c>
      <c r="C128" s="5">
        <f t="shared" si="1"/>
        <v>218</v>
      </c>
      <c r="D128">
        <v>13</v>
      </c>
      <c r="E128" t="s">
        <v>10</v>
      </c>
      <c r="F128">
        <v>0</v>
      </c>
      <c r="G128">
        <v>0</v>
      </c>
      <c r="H128">
        <v>0</v>
      </c>
      <c r="I128">
        <v>0</v>
      </c>
      <c r="J128">
        <v>0</v>
      </c>
      <c r="K128" s="10" t="s">
        <v>59</v>
      </c>
    </row>
    <row r="129" spans="1:11" x14ac:dyDescent="0.25">
      <c r="A129">
        <v>2020</v>
      </c>
      <c r="B129" s="1">
        <v>44048</v>
      </c>
      <c r="C129" s="5">
        <f t="shared" si="1"/>
        <v>218</v>
      </c>
      <c r="D129">
        <v>17</v>
      </c>
      <c r="E129" t="s">
        <v>9</v>
      </c>
      <c r="F129">
        <v>0</v>
      </c>
      <c r="G129">
        <v>0</v>
      </c>
      <c r="H129">
        <v>0</v>
      </c>
      <c r="I129">
        <v>0</v>
      </c>
      <c r="J129">
        <v>0</v>
      </c>
      <c r="K129" s="10" t="s">
        <v>59</v>
      </c>
    </row>
    <row r="130" spans="1:11" x14ac:dyDescent="0.25">
      <c r="A130">
        <v>2020</v>
      </c>
      <c r="B130" s="1">
        <v>44048</v>
      </c>
      <c r="C130" s="5">
        <f t="shared" ref="C130:C193" si="2">B130-DATE(YEAR(B130),1,0)</f>
        <v>218</v>
      </c>
      <c r="D130">
        <v>15</v>
      </c>
      <c r="E130" t="s">
        <v>9</v>
      </c>
      <c r="F130">
        <v>0</v>
      </c>
      <c r="G130">
        <v>0</v>
      </c>
      <c r="H130">
        <v>0</v>
      </c>
      <c r="I130">
        <v>0</v>
      </c>
      <c r="J130">
        <v>0</v>
      </c>
      <c r="K130" s="10" t="s">
        <v>59</v>
      </c>
    </row>
    <row r="131" spans="1:11" x14ac:dyDescent="0.25">
      <c r="A131">
        <v>2020</v>
      </c>
      <c r="B131" s="1">
        <v>44048</v>
      </c>
      <c r="C131" s="5">
        <f t="shared" si="2"/>
        <v>218</v>
      </c>
      <c r="D131">
        <v>7</v>
      </c>
      <c r="E131" t="s">
        <v>9</v>
      </c>
      <c r="F131">
        <v>0</v>
      </c>
      <c r="G131">
        <v>1</v>
      </c>
      <c r="H131">
        <v>0</v>
      </c>
      <c r="I131">
        <v>0</v>
      </c>
      <c r="J131">
        <v>0</v>
      </c>
      <c r="K131" s="10" t="s">
        <v>59</v>
      </c>
    </row>
    <row r="132" spans="1:11" x14ac:dyDescent="0.25">
      <c r="A132">
        <v>2020</v>
      </c>
      <c r="B132" s="1">
        <v>44048</v>
      </c>
      <c r="C132" s="5">
        <f t="shared" si="2"/>
        <v>218</v>
      </c>
      <c r="D132">
        <v>6</v>
      </c>
      <c r="E132" t="s">
        <v>9</v>
      </c>
      <c r="F132">
        <v>0</v>
      </c>
      <c r="G132">
        <v>0</v>
      </c>
      <c r="H132">
        <v>0</v>
      </c>
      <c r="I132">
        <v>0</v>
      </c>
      <c r="J132">
        <v>0</v>
      </c>
      <c r="K132" s="10" t="s">
        <v>59</v>
      </c>
    </row>
    <row r="133" spans="1:11" x14ac:dyDescent="0.25">
      <c r="A133">
        <v>2020</v>
      </c>
      <c r="B133" s="1">
        <v>44048</v>
      </c>
      <c r="C133" s="5">
        <f t="shared" si="2"/>
        <v>218</v>
      </c>
      <c r="D133">
        <v>1</v>
      </c>
      <c r="E133" t="s">
        <v>9</v>
      </c>
      <c r="F133">
        <v>1</v>
      </c>
      <c r="G133">
        <v>0</v>
      </c>
      <c r="H133">
        <v>0</v>
      </c>
      <c r="I133">
        <v>0</v>
      </c>
      <c r="J133">
        <v>0</v>
      </c>
      <c r="K133" s="10" t="s">
        <v>59</v>
      </c>
    </row>
    <row r="134" spans="1:11" x14ac:dyDescent="0.25">
      <c r="A134">
        <v>2020</v>
      </c>
      <c r="B134" s="1">
        <v>44048</v>
      </c>
      <c r="C134" s="5">
        <f t="shared" si="2"/>
        <v>218</v>
      </c>
      <c r="D134">
        <v>20</v>
      </c>
      <c r="E134" t="s">
        <v>7</v>
      </c>
      <c r="F134">
        <v>5</v>
      </c>
      <c r="G134">
        <v>2</v>
      </c>
      <c r="H134">
        <v>0</v>
      </c>
      <c r="I134">
        <v>0</v>
      </c>
      <c r="J134">
        <v>0</v>
      </c>
      <c r="K134" s="10" t="s">
        <v>59</v>
      </c>
    </row>
    <row r="135" spans="1:11" x14ac:dyDescent="0.25">
      <c r="A135">
        <v>2020</v>
      </c>
      <c r="B135" s="1">
        <v>44048</v>
      </c>
      <c r="C135" s="5">
        <f t="shared" si="2"/>
        <v>218</v>
      </c>
      <c r="D135">
        <v>12</v>
      </c>
      <c r="E135" t="s">
        <v>7</v>
      </c>
      <c r="F135">
        <v>15</v>
      </c>
      <c r="G135">
        <v>0</v>
      </c>
      <c r="H135">
        <v>0</v>
      </c>
      <c r="I135">
        <v>0</v>
      </c>
      <c r="J135">
        <v>0</v>
      </c>
      <c r="K135" s="10" t="s">
        <v>59</v>
      </c>
    </row>
    <row r="136" spans="1:11" x14ac:dyDescent="0.25">
      <c r="A136">
        <v>2020</v>
      </c>
      <c r="B136" s="1">
        <v>44048</v>
      </c>
      <c r="C136" s="5">
        <f t="shared" si="2"/>
        <v>218</v>
      </c>
      <c r="D136">
        <v>11</v>
      </c>
      <c r="E136" t="s">
        <v>7</v>
      </c>
      <c r="F136">
        <v>52</v>
      </c>
      <c r="G136">
        <v>0</v>
      </c>
      <c r="H136">
        <v>0</v>
      </c>
      <c r="I136">
        <v>0</v>
      </c>
      <c r="J136">
        <v>0</v>
      </c>
      <c r="K136" s="10" t="s">
        <v>59</v>
      </c>
    </row>
    <row r="137" spans="1:11" x14ac:dyDescent="0.25">
      <c r="A137">
        <v>2020</v>
      </c>
      <c r="B137" s="1">
        <v>44048</v>
      </c>
      <c r="C137" s="5">
        <f t="shared" si="2"/>
        <v>218</v>
      </c>
      <c r="D137">
        <v>3</v>
      </c>
      <c r="E137" t="s">
        <v>7</v>
      </c>
      <c r="F137">
        <v>37</v>
      </c>
      <c r="G137">
        <v>0</v>
      </c>
      <c r="H137">
        <v>0</v>
      </c>
      <c r="I137">
        <v>0</v>
      </c>
      <c r="J137">
        <v>0</v>
      </c>
      <c r="K137" s="10" t="s">
        <v>59</v>
      </c>
    </row>
    <row r="138" spans="1:11" x14ac:dyDescent="0.25">
      <c r="A138">
        <v>2020</v>
      </c>
      <c r="B138" s="1">
        <v>44048</v>
      </c>
      <c r="C138" s="5">
        <f t="shared" si="2"/>
        <v>218</v>
      </c>
      <c r="D138">
        <v>2</v>
      </c>
      <c r="E138" t="s">
        <v>7</v>
      </c>
      <c r="F138">
        <v>58</v>
      </c>
      <c r="G138">
        <v>5</v>
      </c>
      <c r="H138">
        <v>0</v>
      </c>
      <c r="I138">
        <v>0</v>
      </c>
      <c r="J138">
        <v>0</v>
      </c>
      <c r="K138" s="10" t="s">
        <v>59</v>
      </c>
    </row>
    <row r="139" spans="1:11" x14ac:dyDescent="0.25">
      <c r="A139">
        <v>2020</v>
      </c>
      <c r="B139" s="1">
        <v>44048</v>
      </c>
      <c r="C139" s="5">
        <f t="shared" si="2"/>
        <v>218</v>
      </c>
      <c r="D139">
        <v>10</v>
      </c>
      <c r="E139" t="s">
        <v>8</v>
      </c>
      <c r="F139">
        <v>3</v>
      </c>
      <c r="G139">
        <v>2</v>
      </c>
      <c r="H139">
        <v>0</v>
      </c>
      <c r="I139">
        <v>0</v>
      </c>
      <c r="J139">
        <v>0</v>
      </c>
      <c r="K139" s="10" t="s">
        <v>59</v>
      </c>
    </row>
    <row r="140" spans="1:11" x14ac:dyDescent="0.25">
      <c r="A140">
        <v>2020</v>
      </c>
      <c r="B140" s="1">
        <v>44048</v>
      </c>
      <c r="C140" s="5">
        <f t="shared" si="2"/>
        <v>218</v>
      </c>
      <c r="D140">
        <v>9</v>
      </c>
      <c r="E140" t="s">
        <v>8</v>
      </c>
      <c r="F140">
        <v>0</v>
      </c>
      <c r="G140">
        <v>0</v>
      </c>
      <c r="H140">
        <v>0</v>
      </c>
      <c r="I140">
        <v>0</v>
      </c>
      <c r="J140">
        <v>0</v>
      </c>
      <c r="K140" s="10" t="s">
        <v>59</v>
      </c>
    </row>
    <row r="141" spans="1:11" x14ac:dyDescent="0.25">
      <c r="A141">
        <v>2020</v>
      </c>
      <c r="B141" s="1">
        <v>44048</v>
      </c>
      <c r="C141" s="5">
        <f t="shared" si="2"/>
        <v>218</v>
      </c>
      <c r="D141">
        <v>8</v>
      </c>
      <c r="E141" t="s">
        <v>8</v>
      </c>
      <c r="F141">
        <v>0</v>
      </c>
      <c r="G141">
        <v>0</v>
      </c>
      <c r="H141">
        <v>0</v>
      </c>
      <c r="I141">
        <v>0</v>
      </c>
      <c r="J141">
        <v>0</v>
      </c>
      <c r="K141" s="10" t="s">
        <v>59</v>
      </c>
    </row>
    <row r="142" spans="1:11" x14ac:dyDescent="0.25">
      <c r="A142">
        <v>2020</v>
      </c>
      <c r="B142" s="1">
        <v>44048</v>
      </c>
      <c r="C142" s="5">
        <f t="shared" si="2"/>
        <v>218</v>
      </c>
      <c r="D142">
        <v>5</v>
      </c>
      <c r="E142" t="s">
        <v>8</v>
      </c>
      <c r="F142">
        <v>4</v>
      </c>
      <c r="G142">
        <v>0</v>
      </c>
      <c r="H142">
        <v>0</v>
      </c>
      <c r="I142">
        <v>0</v>
      </c>
      <c r="J142">
        <v>0</v>
      </c>
      <c r="K142" s="10" t="s">
        <v>59</v>
      </c>
    </row>
    <row r="143" spans="1:11" x14ac:dyDescent="0.25">
      <c r="A143">
        <v>2020</v>
      </c>
      <c r="B143" s="1">
        <v>44048</v>
      </c>
      <c r="C143" s="5">
        <f t="shared" si="2"/>
        <v>218</v>
      </c>
      <c r="D143">
        <v>4</v>
      </c>
      <c r="E143" t="s">
        <v>8</v>
      </c>
      <c r="F143">
        <v>0</v>
      </c>
      <c r="G143">
        <v>0</v>
      </c>
      <c r="H143">
        <v>0</v>
      </c>
      <c r="I143">
        <v>0</v>
      </c>
      <c r="J143">
        <v>0</v>
      </c>
      <c r="K143" s="10" t="s">
        <v>59</v>
      </c>
    </row>
    <row r="144" spans="1:11" x14ac:dyDescent="0.25">
      <c r="A144">
        <v>2020</v>
      </c>
      <c r="B144" s="1">
        <v>44049</v>
      </c>
      <c r="C144" s="5">
        <f t="shared" si="2"/>
        <v>219</v>
      </c>
      <c r="D144">
        <v>20</v>
      </c>
      <c r="E144" t="s">
        <v>10</v>
      </c>
      <c r="F144">
        <v>7</v>
      </c>
      <c r="G144">
        <v>1</v>
      </c>
      <c r="H144">
        <v>0</v>
      </c>
      <c r="I144">
        <v>0</v>
      </c>
      <c r="J144">
        <v>0</v>
      </c>
      <c r="K144" s="10" t="s">
        <v>59</v>
      </c>
    </row>
    <row r="145" spans="1:12" x14ac:dyDescent="0.25">
      <c r="A145">
        <v>2020</v>
      </c>
      <c r="B145" s="1">
        <v>44049</v>
      </c>
      <c r="C145" s="5">
        <f t="shared" si="2"/>
        <v>219</v>
      </c>
      <c r="D145">
        <v>10</v>
      </c>
      <c r="E145" t="s">
        <v>10</v>
      </c>
      <c r="F145">
        <v>6</v>
      </c>
      <c r="G145">
        <v>3</v>
      </c>
      <c r="H145">
        <v>0</v>
      </c>
      <c r="I145">
        <v>0</v>
      </c>
      <c r="J145">
        <v>0</v>
      </c>
      <c r="K145" s="10" t="s">
        <v>59</v>
      </c>
    </row>
    <row r="146" spans="1:12" x14ac:dyDescent="0.25">
      <c r="A146">
        <v>2020</v>
      </c>
      <c r="B146" s="1">
        <v>44049</v>
      </c>
      <c r="C146" s="5">
        <f t="shared" si="2"/>
        <v>219</v>
      </c>
      <c r="D146">
        <v>9</v>
      </c>
      <c r="E146" t="s">
        <v>10</v>
      </c>
      <c r="F146">
        <v>1</v>
      </c>
      <c r="G146">
        <v>2</v>
      </c>
      <c r="H146">
        <v>0</v>
      </c>
      <c r="I146">
        <v>0</v>
      </c>
      <c r="J146">
        <v>0</v>
      </c>
      <c r="K146" s="10" t="s">
        <v>59</v>
      </c>
    </row>
    <row r="147" spans="1:12" x14ac:dyDescent="0.25">
      <c r="A147">
        <v>2020</v>
      </c>
      <c r="B147" s="1">
        <v>44049</v>
      </c>
      <c r="C147" s="5">
        <f t="shared" si="2"/>
        <v>219</v>
      </c>
      <c r="D147">
        <v>6</v>
      </c>
      <c r="E147" t="s">
        <v>10</v>
      </c>
      <c r="F147">
        <v>8</v>
      </c>
      <c r="G147">
        <v>6</v>
      </c>
      <c r="H147">
        <v>0</v>
      </c>
      <c r="I147">
        <v>0</v>
      </c>
      <c r="J147">
        <v>0</v>
      </c>
      <c r="K147" s="10" t="s">
        <v>59</v>
      </c>
    </row>
    <row r="148" spans="1:12" x14ac:dyDescent="0.25">
      <c r="A148">
        <v>2020</v>
      </c>
      <c r="B148" s="1">
        <v>44049</v>
      </c>
      <c r="C148" s="5">
        <f t="shared" si="2"/>
        <v>219</v>
      </c>
      <c r="D148">
        <v>1</v>
      </c>
      <c r="E148" t="s">
        <v>10</v>
      </c>
      <c r="F148">
        <v>3</v>
      </c>
      <c r="G148">
        <v>3</v>
      </c>
      <c r="H148">
        <v>0</v>
      </c>
      <c r="I148">
        <v>0</v>
      </c>
      <c r="J148">
        <v>0</v>
      </c>
      <c r="K148" s="10" t="s">
        <v>59</v>
      </c>
    </row>
    <row r="149" spans="1:12" x14ac:dyDescent="0.25">
      <c r="A149">
        <v>2020</v>
      </c>
      <c r="B149" s="1">
        <v>44049</v>
      </c>
      <c r="C149" s="5">
        <f t="shared" si="2"/>
        <v>219</v>
      </c>
      <c r="D149">
        <v>18</v>
      </c>
      <c r="E149" t="s">
        <v>9</v>
      </c>
      <c r="F149">
        <v>1</v>
      </c>
      <c r="G149">
        <v>1</v>
      </c>
      <c r="H149">
        <v>0</v>
      </c>
      <c r="I149">
        <v>0</v>
      </c>
      <c r="J149">
        <v>0</v>
      </c>
      <c r="K149" s="10" t="s">
        <v>59</v>
      </c>
    </row>
    <row r="150" spans="1:12" x14ac:dyDescent="0.25">
      <c r="A150">
        <v>2020</v>
      </c>
      <c r="B150" s="1">
        <v>44049</v>
      </c>
      <c r="C150" s="5">
        <f t="shared" si="2"/>
        <v>219</v>
      </c>
      <c r="D150">
        <v>14</v>
      </c>
      <c r="E150" t="s">
        <v>9</v>
      </c>
      <c r="F150">
        <v>0</v>
      </c>
      <c r="G150">
        <v>1</v>
      </c>
      <c r="H150">
        <v>0</v>
      </c>
      <c r="I150">
        <v>0</v>
      </c>
      <c r="J150">
        <v>0</v>
      </c>
      <c r="K150" s="10" t="s">
        <v>59</v>
      </c>
    </row>
    <row r="151" spans="1:12" x14ac:dyDescent="0.25">
      <c r="A151">
        <v>2020</v>
      </c>
      <c r="B151" s="1">
        <v>44049</v>
      </c>
      <c r="C151" s="5">
        <f t="shared" si="2"/>
        <v>219</v>
      </c>
      <c r="D151">
        <v>5</v>
      </c>
      <c r="E151" t="s">
        <v>9</v>
      </c>
      <c r="F151">
        <v>1</v>
      </c>
      <c r="G151">
        <v>1</v>
      </c>
      <c r="H151">
        <v>0</v>
      </c>
      <c r="I151">
        <v>0</v>
      </c>
      <c r="J151">
        <v>0</v>
      </c>
      <c r="K151" s="10" t="s">
        <v>59</v>
      </c>
    </row>
    <row r="152" spans="1:12" x14ac:dyDescent="0.25">
      <c r="A152">
        <v>2020</v>
      </c>
      <c r="B152" s="1">
        <v>44049</v>
      </c>
      <c r="C152" s="5">
        <f t="shared" si="2"/>
        <v>219</v>
      </c>
      <c r="D152">
        <v>4</v>
      </c>
      <c r="E152" t="s">
        <v>9</v>
      </c>
      <c r="F152">
        <v>4</v>
      </c>
      <c r="G152">
        <v>0</v>
      </c>
      <c r="H152">
        <v>0</v>
      </c>
      <c r="I152">
        <v>0</v>
      </c>
      <c r="J152">
        <v>0</v>
      </c>
      <c r="K152" s="10" t="s">
        <v>59</v>
      </c>
      <c r="L152" t="s">
        <v>21</v>
      </c>
    </row>
    <row r="153" spans="1:12" x14ac:dyDescent="0.25">
      <c r="A153">
        <v>2020</v>
      </c>
      <c r="B153" s="1">
        <v>44049</v>
      </c>
      <c r="C153" s="5">
        <f t="shared" si="2"/>
        <v>219</v>
      </c>
      <c r="D153">
        <v>3</v>
      </c>
      <c r="E153" t="s">
        <v>9</v>
      </c>
      <c r="F153">
        <v>3</v>
      </c>
      <c r="G153">
        <v>2</v>
      </c>
      <c r="H153">
        <v>0</v>
      </c>
      <c r="I153">
        <v>0</v>
      </c>
      <c r="J153">
        <v>0</v>
      </c>
      <c r="K153" s="10" t="s">
        <v>59</v>
      </c>
    </row>
    <row r="154" spans="1:12" x14ac:dyDescent="0.25">
      <c r="A154">
        <v>2020</v>
      </c>
      <c r="B154" s="1">
        <v>44049</v>
      </c>
      <c r="C154" s="5">
        <f t="shared" si="2"/>
        <v>219</v>
      </c>
      <c r="D154">
        <v>19</v>
      </c>
      <c r="E154" t="s">
        <v>7</v>
      </c>
      <c r="F154">
        <v>8</v>
      </c>
      <c r="G154">
        <v>18</v>
      </c>
      <c r="H154">
        <v>0</v>
      </c>
      <c r="I154">
        <v>0</v>
      </c>
      <c r="J154">
        <v>0</v>
      </c>
      <c r="K154" s="10" t="s">
        <v>59</v>
      </c>
    </row>
    <row r="155" spans="1:12" x14ac:dyDescent="0.25">
      <c r="A155">
        <v>2020</v>
      </c>
      <c r="B155" s="1">
        <v>44049</v>
      </c>
      <c r="C155" s="5">
        <f t="shared" si="2"/>
        <v>219</v>
      </c>
      <c r="D155">
        <v>15</v>
      </c>
      <c r="E155" t="s">
        <v>7</v>
      </c>
      <c r="F155">
        <v>30</v>
      </c>
      <c r="G155">
        <v>10</v>
      </c>
      <c r="H155">
        <v>0</v>
      </c>
      <c r="I155">
        <v>0</v>
      </c>
      <c r="J155">
        <v>0</v>
      </c>
      <c r="K155" s="10" t="s">
        <v>59</v>
      </c>
    </row>
    <row r="156" spans="1:12" x14ac:dyDescent="0.25">
      <c r="A156">
        <v>2020</v>
      </c>
      <c r="B156" s="1">
        <v>44049</v>
      </c>
      <c r="C156" s="5">
        <f t="shared" si="2"/>
        <v>219</v>
      </c>
      <c r="D156">
        <v>11</v>
      </c>
      <c r="E156" t="s">
        <v>7</v>
      </c>
      <c r="F156">
        <v>105</v>
      </c>
      <c r="G156">
        <v>3</v>
      </c>
      <c r="H156">
        <v>0</v>
      </c>
      <c r="I156">
        <v>0</v>
      </c>
      <c r="J156">
        <v>0</v>
      </c>
      <c r="K156" s="10" t="s">
        <v>59</v>
      </c>
    </row>
    <row r="157" spans="1:12" x14ac:dyDescent="0.25">
      <c r="A157">
        <v>2020</v>
      </c>
      <c r="B157" s="1">
        <v>44049</v>
      </c>
      <c r="C157" s="5">
        <f t="shared" si="2"/>
        <v>219</v>
      </c>
      <c r="D157">
        <v>8</v>
      </c>
      <c r="E157" t="s">
        <v>7</v>
      </c>
      <c r="F157">
        <v>28</v>
      </c>
      <c r="G157">
        <v>3</v>
      </c>
      <c r="H157">
        <v>0</v>
      </c>
      <c r="I157">
        <v>0</v>
      </c>
      <c r="J157">
        <v>0</v>
      </c>
      <c r="K157" s="10" t="s">
        <v>59</v>
      </c>
    </row>
    <row r="158" spans="1:12" x14ac:dyDescent="0.25">
      <c r="A158">
        <v>2020</v>
      </c>
      <c r="B158" s="1">
        <v>44049</v>
      </c>
      <c r="C158" s="5">
        <f t="shared" si="2"/>
        <v>219</v>
      </c>
      <c r="D158">
        <v>7</v>
      </c>
      <c r="E158" t="s">
        <v>7</v>
      </c>
      <c r="F158">
        <v>14</v>
      </c>
      <c r="G158">
        <v>27</v>
      </c>
      <c r="H158">
        <v>0</v>
      </c>
      <c r="I158">
        <v>0</v>
      </c>
      <c r="J158">
        <v>0</v>
      </c>
      <c r="K158" s="10" t="s">
        <v>59</v>
      </c>
    </row>
    <row r="159" spans="1:12" x14ac:dyDescent="0.25">
      <c r="A159">
        <v>2020</v>
      </c>
      <c r="B159" s="1">
        <v>44049</v>
      </c>
      <c r="C159" s="5">
        <f t="shared" si="2"/>
        <v>219</v>
      </c>
      <c r="D159">
        <v>17</v>
      </c>
      <c r="E159" t="s">
        <v>8</v>
      </c>
      <c r="F159">
        <v>6</v>
      </c>
      <c r="G159">
        <v>0</v>
      </c>
      <c r="H159">
        <v>0</v>
      </c>
      <c r="I159">
        <v>0</v>
      </c>
      <c r="J159">
        <v>0</v>
      </c>
      <c r="K159" s="10" t="s">
        <v>59</v>
      </c>
    </row>
    <row r="160" spans="1:12" x14ac:dyDescent="0.25">
      <c r="A160">
        <v>2020</v>
      </c>
      <c r="B160" s="1">
        <v>44049</v>
      </c>
      <c r="C160" s="5">
        <f t="shared" si="2"/>
        <v>219</v>
      </c>
      <c r="D160">
        <v>16</v>
      </c>
      <c r="E160" t="s">
        <v>8</v>
      </c>
      <c r="F160">
        <v>6</v>
      </c>
      <c r="G160">
        <v>1</v>
      </c>
      <c r="H160">
        <v>0</v>
      </c>
      <c r="I160">
        <v>0</v>
      </c>
      <c r="J160">
        <v>0</v>
      </c>
      <c r="K160" s="10" t="s">
        <v>59</v>
      </c>
    </row>
    <row r="161" spans="1:11" x14ac:dyDescent="0.25">
      <c r="A161">
        <v>2020</v>
      </c>
      <c r="B161" s="1">
        <v>44049</v>
      </c>
      <c r="C161" s="5">
        <f t="shared" si="2"/>
        <v>219</v>
      </c>
      <c r="D161">
        <v>13</v>
      </c>
      <c r="E161" t="s">
        <v>8</v>
      </c>
      <c r="F161">
        <v>5</v>
      </c>
      <c r="G161">
        <v>2</v>
      </c>
      <c r="H161">
        <v>0</v>
      </c>
      <c r="I161">
        <v>0</v>
      </c>
      <c r="J161">
        <v>0</v>
      </c>
      <c r="K161" s="10" t="s">
        <v>59</v>
      </c>
    </row>
    <row r="162" spans="1:11" x14ac:dyDescent="0.25">
      <c r="A162">
        <v>2020</v>
      </c>
      <c r="B162" s="1">
        <v>44049</v>
      </c>
      <c r="C162" s="5">
        <f t="shared" si="2"/>
        <v>219</v>
      </c>
      <c r="D162">
        <v>12</v>
      </c>
      <c r="E162" t="s">
        <v>8</v>
      </c>
      <c r="F162">
        <v>1</v>
      </c>
      <c r="G162">
        <v>4</v>
      </c>
      <c r="H162">
        <v>0</v>
      </c>
      <c r="I162">
        <v>0</v>
      </c>
      <c r="J162">
        <v>0</v>
      </c>
      <c r="K162" s="10" t="s">
        <v>59</v>
      </c>
    </row>
    <row r="163" spans="1:11" x14ac:dyDescent="0.25">
      <c r="A163">
        <v>2020</v>
      </c>
      <c r="B163" s="1">
        <v>44049</v>
      </c>
      <c r="C163" s="5">
        <f t="shared" si="2"/>
        <v>219</v>
      </c>
      <c r="D163">
        <v>2</v>
      </c>
      <c r="E163" t="s">
        <v>8</v>
      </c>
      <c r="F163">
        <v>7</v>
      </c>
      <c r="G163">
        <v>7</v>
      </c>
      <c r="H163">
        <v>0</v>
      </c>
      <c r="I163">
        <v>0</v>
      </c>
      <c r="J163">
        <v>0</v>
      </c>
      <c r="K163" s="10" t="s">
        <v>59</v>
      </c>
    </row>
    <row r="164" spans="1:11" x14ac:dyDescent="0.25">
      <c r="A164">
        <v>2020</v>
      </c>
      <c r="B164" s="1">
        <v>44050</v>
      </c>
      <c r="C164" s="5">
        <f t="shared" si="2"/>
        <v>220</v>
      </c>
      <c r="D164">
        <v>16</v>
      </c>
      <c r="E164" t="s">
        <v>10</v>
      </c>
      <c r="F164">
        <v>10</v>
      </c>
      <c r="G164">
        <v>0</v>
      </c>
      <c r="H164">
        <v>0</v>
      </c>
      <c r="I164">
        <v>0</v>
      </c>
      <c r="J164">
        <v>0</v>
      </c>
      <c r="K164" s="10" t="s">
        <v>59</v>
      </c>
    </row>
    <row r="165" spans="1:11" x14ac:dyDescent="0.25">
      <c r="A165">
        <v>2020</v>
      </c>
      <c r="B165" s="1">
        <v>44050</v>
      </c>
      <c r="C165" s="5">
        <f t="shared" si="2"/>
        <v>220</v>
      </c>
      <c r="D165">
        <v>9</v>
      </c>
      <c r="E165" t="s">
        <v>10</v>
      </c>
      <c r="F165">
        <v>12</v>
      </c>
      <c r="G165">
        <v>1</v>
      </c>
      <c r="H165">
        <v>0</v>
      </c>
      <c r="I165">
        <v>0</v>
      </c>
      <c r="J165">
        <v>0</v>
      </c>
      <c r="K165" s="10" t="s">
        <v>59</v>
      </c>
    </row>
    <row r="166" spans="1:11" x14ac:dyDescent="0.25">
      <c r="A166">
        <v>2020</v>
      </c>
      <c r="B166" s="1">
        <v>44050</v>
      </c>
      <c r="C166" s="5">
        <f t="shared" si="2"/>
        <v>220</v>
      </c>
      <c r="D166">
        <v>5</v>
      </c>
      <c r="E166" t="s">
        <v>10</v>
      </c>
      <c r="F166">
        <v>8</v>
      </c>
      <c r="G166">
        <v>1</v>
      </c>
      <c r="H166">
        <v>0</v>
      </c>
      <c r="I166">
        <v>0</v>
      </c>
      <c r="J166">
        <v>0</v>
      </c>
      <c r="K166" s="10" t="s">
        <v>59</v>
      </c>
    </row>
    <row r="167" spans="1:11" x14ac:dyDescent="0.25">
      <c r="A167">
        <v>2020</v>
      </c>
      <c r="B167" s="1">
        <v>44050</v>
      </c>
      <c r="C167" s="5">
        <f t="shared" si="2"/>
        <v>220</v>
      </c>
      <c r="D167">
        <v>3</v>
      </c>
      <c r="E167" t="s">
        <v>10</v>
      </c>
      <c r="F167">
        <v>4</v>
      </c>
      <c r="G167">
        <v>0</v>
      </c>
      <c r="H167">
        <v>0</v>
      </c>
      <c r="I167">
        <v>0</v>
      </c>
      <c r="J167">
        <v>0</v>
      </c>
      <c r="K167" s="10" t="s">
        <v>59</v>
      </c>
    </row>
    <row r="168" spans="1:11" x14ac:dyDescent="0.25">
      <c r="A168">
        <v>2020</v>
      </c>
      <c r="B168" s="1">
        <v>44050</v>
      </c>
      <c r="C168" s="5">
        <f t="shared" si="2"/>
        <v>220</v>
      </c>
      <c r="D168">
        <v>2</v>
      </c>
      <c r="E168" t="s">
        <v>10</v>
      </c>
      <c r="F168">
        <v>6</v>
      </c>
      <c r="G168">
        <v>3</v>
      </c>
      <c r="H168">
        <v>0</v>
      </c>
      <c r="I168">
        <v>0</v>
      </c>
      <c r="J168">
        <v>0</v>
      </c>
      <c r="K168" s="10" t="s">
        <v>59</v>
      </c>
    </row>
    <row r="169" spans="1:11" x14ac:dyDescent="0.25">
      <c r="A169">
        <v>2020</v>
      </c>
      <c r="B169" s="1">
        <v>44050</v>
      </c>
      <c r="C169" s="5">
        <f t="shared" si="2"/>
        <v>220</v>
      </c>
      <c r="D169">
        <v>19</v>
      </c>
      <c r="E169" t="s">
        <v>9</v>
      </c>
      <c r="F169">
        <v>2</v>
      </c>
      <c r="G169">
        <v>0</v>
      </c>
      <c r="H169">
        <v>0</v>
      </c>
      <c r="I169">
        <v>0</v>
      </c>
      <c r="J169">
        <v>0</v>
      </c>
      <c r="K169" s="10" t="s">
        <v>59</v>
      </c>
    </row>
    <row r="170" spans="1:11" x14ac:dyDescent="0.25">
      <c r="A170">
        <v>2020</v>
      </c>
      <c r="B170" s="1">
        <v>44050</v>
      </c>
      <c r="C170" s="5">
        <f t="shared" si="2"/>
        <v>220</v>
      </c>
      <c r="D170">
        <v>17</v>
      </c>
      <c r="E170" t="s">
        <v>9</v>
      </c>
      <c r="F170">
        <v>3</v>
      </c>
      <c r="G170">
        <v>1</v>
      </c>
      <c r="H170">
        <v>0</v>
      </c>
      <c r="I170">
        <v>0</v>
      </c>
      <c r="J170">
        <v>0</v>
      </c>
      <c r="K170" s="10" t="s">
        <v>59</v>
      </c>
    </row>
    <row r="171" spans="1:11" x14ac:dyDescent="0.25">
      <c r="A171">
        <v>2020</v>
      </c>
      <c r="B171" s="1">
        <v>44050</v>
      </c>
      <c r="C171" s="5">
        <f t="shared" si="2"/>
        <v>220</v>
      </c>
      <c r="D171">
        <v>15</v>
      </c>
      <c r="E171" t="s">
        <v>9</v>
      </c>
      <c r="F171">
        <v>1</v>
      </c>
      <c r="G171">
        <v>0</v>
      </c>
      <c r="H171">
        <v>0</v>
      </c>
      <c r="I171">
        <v>0</v>
      </c>
      <c r="J171">
        <v>0</v>
      </c>
      <c r="K171" s="10" t="s">
        <v>59</v>
      </c>
    </row>
    <row r="172" spans="1:11" x14ac:dyDescent="0.25">
      <c r="A172">
        <v>2020</v>
      </c>
      <c r="B172" s="1">
        <v>44050</v>
      </c>
      <c r="C172" s="5">
        <f t="shared" si="2"/>
        <v>220</v>
      </c>
      <c r="D172">
        <v>13</v>
      </c>
      <c r="E172" t="s">
        <v>9</v>
      </c>
      <c r="F172">
        <v>1</v>
      </c>
      <c r="G172">
        <v>5</v>
      </c>
      <c r="H172">
        <v>0</v>
      </c>
      <c r="I172">
        <v>0</v>
      </c>
      <c r="J172">
        <v>0</v>
      </c>
      <c r="K172" s="10" t="s">
        <v>59</v>
      </c>
    </row>
    <row r="173" spans="1:11" x14ac:dyDescent="0.25">
      <c r="A173">
        <v>2020</v>
      </c>
      <c r="B173" s="1">
        <v>44050</v>
      </c>
      <c r="C173" s="5">
        <f t="shared" si="2"/>
        <v>220</v>
      </c>
      <c r="D173">
        <v>8</v>
      </c>
      <c r="E173" t="s">
        <v>9</v>
      </c>
      <c r="F173">
        <v>3</v>
      </c>
      <c r="G173">
        <v>2</v>
      </c>
      <c r="H173">
        <v>0</v>
      </c>
      <c r="I173">
        <v>0</v>
      </c>
      <c r="J173">
        <v>0</v>
      </c>
      <c r="K173" s="10" t="s">
        <v>59</v>
      </c>
    </row>
    <row r="174" spans="1:11" x14ac:dyDescent="0.25">
      <c r="A174">
        <v>2020</v>
      </c>
      <c r="B174" s="1">
        <v>44050</v>
      </c>
      <c r="C174" s="5">
        <f t="shared" si="2"/>
        <v>220</v>
      </c>
      <c r="D174">
        <v>20</v>
      </c>
      <c r="E174" t="s">
        <v>7</v>
      </c>
      <c r="F174">
        <v>20</v>
      </c>
      <c r="G174">
        <v>0</v>
      </c>
      <c r="H174">
        <v>0</v>
      </c>
      <c r="I174">
        <v>0</v>
      </c>
      <c r="J174">
        <v>0</v>
      </c>
      <c r="K174" s="10" t="s">
        <v>59</v>
      </c>
    </row>
    <row r="175" spans="1:11" x14ac:dyDescent="0.25">
      <c r="A175">
        <v>2020</v>
      </c>
      <c r="B175" s="1">
        <v>44050</v>
      </c>
      <c r="C175" s="5">
        <f t="shared" si="2"/>
        <v>220</v>
      </c>
      <c r="D175">
        <v>18</v>
      </c>
      <c r="E175" t="s">
        <v>7</v>
      </c>
      <c r="F175">
        <v>0</v>
      </c>
      <c r="G175">
        <v>0</v>
      </c>
      <c r="H175">
        <v>0</v>
      </c>
      <c r="I175">
        <v>0</v>
      </c>
      <c r="J175">
        <v>0</v>
      </c>
      <c r="K175" s="10" t="s">
        <v>59</v>
      </c>
    </row>
    <row r="176" spans="1:11" x14ac:dyDescent="0.25">
      <c r="A176">
        <v>2020</v>
      </c>
      <c r="B176" s="1">
        <v>44050</v>
      </c>
      <c r="C176" s="5">
        <f t="shared" si="2"/>
        <v>220</v>
      </c>
      <c r="D176">
        <v>14</v>
      </c>
      <c r="E176" t="s">
        <v>7</v>
      </c>
      <c r="F176">
        <v>9</v>
      </c>
      <c r="G176">
        <v>1</v>
      </c>
      <c r="H176">
        <v>0</v>
      </c>
      <c r="I176">
        <v>0</v>
      </c>
      <c r="J176">
        <v>0</v>
      </c>
      <c r="K176" s="10" t="s">
        <v>59</v>
      </c>
    </row>
    <row r="177" spans="1:12" x14ac:dyDescent="0.25">
      <c r="A177">
        <v>2020</v>
      </c>
      <c r="B177" s="1">
        <v>44050</v>
      </c>
      <c r="C177" s="5">
        <f t="shared" si="2"/>
        <v>220</v>
      </c>
      <c r="D177">
        <v>7</v>
      </c>
      <c r="E177" t="s">
        <v>7</v>
      </c>
      <c r="F177">
        <v>7</v>
      </c>
      <c r="G177">
        <v>1</v>
      </c>
      <c r="H177">
        <v>0</v>
      </c>
      <c r="I177">
        <v>0</v>
      </c>
      <c r="J177">
        <v>0</v>
      </c>
      <c r="K177" s="10" t="s">
        <v>59</v>
      </c>
    </row>
    <row r="178" spans="1:12" x14ac:dyDescent="0.25">
      <c r="A178">
        <v>2020</v>
      </c>
      <c r="B178" s="1">
        <v>44050</v>
      </c>
      <c r="C178" s="5">
        <f t="shared" si="2"/>
        <v>220</v>
      </c>
      <c r="D178">
        <v>6</v>
      </c>
      <c r="E178" t="s">
        <v>7</v>
      </c>
      <c r="F178">
        <v>11</v>
      </c>
      <c r="G178">
        <v>0</v>
      </c>
      <c r="H178">
        <v>0</v>
      </c>
      <c r="I178">
        <v>0</v>
      </c>
      <c r="J178">
        <v>0</v>
      </c>
      <c r="K178" s="10" t="s">
        <v>59</v>
      </c>
    </row>
    <row r="179" spans="1:12" x14ac:dyDescent="0.25">
      <c r="A179">
        <v>2020</v>
      </c>
      <c r="B179" s="1">
        <v>44050</v>
      </c>
      <c r="C179" s="5">
        <f t="shared" si="2"/>
        <v>220</v>
      </c>
      <c r="D179">
        <v>12</v>
      </c>
      <c r="E179" t="s">
        <v>8</v>
      </c>
      <c r="F179">
        <v>9</v>
      </c>
      <c r="G179">
        <v>2</v>
      </c>
      <c r="H179">
        <v>0</v>
      </c>
      <c r="I179">
        <v>0</v>
      </c>
      <c r="J179">
        <v>0</v>
      </c>
      <c r="K179" s="10" t="s">
        <v>59</v>
      </c>
    </row>
    <row r="180" spans="1:12" x14ac:dyDescent="0.25">
      <c r="A180">
        <v>2020</v>
      </c>
      <c r="B180" s="1">
        <v>44050</v>
      </c>
      <c r="C180" s="5">
        <f t="shared" si="2"/>
        <v>220</v>
      </c>
      <c r="D180">
        <v>11</v>
      </c>
      <c r="E180" t="s">
        <v>8</v>
      </c>
      <c r="F180">
        <v>36</v>
      </c>
      <c r="G180">
        <v>6</v>
      </c>
      <c r="H180">
        <v>0</v>
      </c>
      <c r="I180">
        <v>0</v>
      </c>
      <c r="J180">
        <v>0</v>
      </c>
      <c r="K180" s="10" t="s">
        <v>59</v>
      </c>
    </row>
    <row r="181" spans="1:12" x14ac:dyDescent="0.25">
      <c r="A181">
        <v>2020</v>
      </c>
      <c r="B181" s="1">
        <v>44050</v>
      </c>
      <c r="C181" s="5">
        <f t="shared" si="2"/>
        <v>220</v>
      </c>
      <c r="D181">
        <v>10</v>
      </c>
      <c r="E181" t="s">
        <v>8</v>
      </c>
      <c r="F181">
        <v>12</v>
      </c>
      <c r="G181">
        <v>6</v>
      </c>
      <c r="H181">
        <v>0</v>
      </c>
      <c r="I181">
        <v>0</v>
      </c>
      <c r="J181">
        <v>0</v>
      </c>
      <c r="K181" s="10" t="s">
        <v>59</v>
      </c>
    </row>
    <row r="182" spans="1:12" x14ac:dyDescent="0.25">
      <c r="A182">
        <v>2020</v>
      </c>
      <c r="B182" s="1">
        <v>44050</v>
      </c>
      <c r="C182" s="5">
        <f t="shared" si="2"/>
        <v>220</v>
      </c>
      <c r="D182">
        <v>4</v>
      </c>
      <c r="E182" t="s">
        <v>8</v>
      </c>
      <c r="F182">
        <v>6</v>
      </c>
      <c r="G182">
        <v>8</v>
      </c>
      <c r="H182">
        <v>0</v>
      </c>
      <c r="I182">
        <v>0</v>
      </c>
      <c r="J182">
        <v>0</v>
      </c>
      <c r="K182" s="10" t="s">
        <v>59</v>
      </c>
    </row>
    <row r="183" spans="1:12" x14ac:dyDescent="0.25">
      <c r="A183">
        <v>2020</v>
      </c>
      <c r="B183" s="1">
        <v>44050</v>
      </c>
      <c r="C183" s="5">
        <f t="shared" si="2"/>
        <v>220</v>
      </c>
      <c r="D183">
        <v>1</v>
      </c>
      <c r="E183" t="s">
        <v>8</v>
      </c>
      <c r="F183">
        <v>1</v>
      </c>
      <c r="G183">
        <v>3</v>
      </c>
      <c r="H183">
        <v>0</v>
      </c>
      <c r="I183">
        <v>0</v>
      </c>
      <c r="J183">
        <v>0</v>
      </c>
      <c r="K183" s="10" t="s">
        <v>59</v>
      </c>
    </row>
    <row r="184" spans="1:12" x14ac:dyDescent="0.25">
      <c r="A184">
        <v>2020</v>
      </c>
      <c r="B184" s="1">
        <v>44051</v>
      </c>
      <c r="C184" s="5">
        <f t="shared" si="2"/>
        <v>221</v>
      </c>
      <c r="D184">
        <v>20</v>
      </c>
      <c r="E184" t="s">
        <v>10</v>
      </c>
      <c r="F184">
        <v>10</v>
      </c>
      <c r="G184">
        <v>1</v>
      </c>
      <c r="H184">
        <v>0</v>
      </c>
      <c r="I184">
        <v>0</v>
      </c>
      <c r="J184">
        <v>0</v>
      </c>
      <c r="K184" s="10" t="s">
        <v>59</v>
      </c>
      <c r="L184" t="s">
        <v>27</v>
      </c>
    </row>
    <row r="185" spans="1:12" x14ac:dyDescent="0.25">
      <c r="A185">
        <v>2020</v>
      </c>
      <c r="B185" s="1">
        <v>44051</v>
      </c>
      <c r="C185" s="5">
        <f t="shared" si="2"/>
        <v>221</v>
      </c>
      <c r="D185">
        <v>10</v>
      </c>
      <c r="E185" t="s">
        <v>10</v>
      </c>
      <c r="F185">
        <v>6</v>
      </c>
      <c r="G185">
        <v>2</v>
      </c>
      <c r="H185">
        <v>0</v>
      </c>
      <c r="I185">
        <v>0</v>
      </c>
      <c r="J185">
        <v>0</v>
      </c>
      <c r="K185" s="10" t="s">
        <v>59</v>
      </c>
    </row>
    <row r="186" spans="1:12" x14ac:dyDescent="0.25">
      <c r="A186">
        <v>2020</v>
      </c>
      <c r="B186" s="1">
        <v>44051</v>
      </c>
      <c r="C186" s="5">
        <f t="shared" si="2"/>
        <v>221</v>
      </c>
      <c r="D186">
        <v>5</v>
      </c>
      <c r="E186" t="s">
        <v>10</v>
      </c>
      <c r="F186">
        <v>2</v>
      </c>
      <c r="G186">
        <v>3</v>
      </c>
      <c r="H186">
        <v>0</v>
      </c>
      <c r="I186">
        <v>0</v>
      </c>
      <c r="J186">
        <v>0</v>
      </c>
      <c r="K186" s="10" t="s">
        <v>59</v>
      </c>
    </row>
    <row r="187" spans="1:12" x14ac:dyDescent="0.25">
      <c r="A187">
        <v>2020</v>
      </c>
      <c r="B187" s="1">
        <v>44051</v>
      </c>
      <c r="C187" s="5">
        <f t="shared" si="2"/>
        <v>221</v>
      </c>
      <c r="D187">
        <v>4</v>
      </c>
      <c r="E187" t="s">
        <v>10</v>
      </c>
      <c r="F187">
        <v>4</v>
      </c>
      <c r="G187">
        <v>1</v>
      </c>
      <c r="H187">
        <v>0</v>
      </c>
      <c r="I187">
        <v>0</v>
      </c>
      <c r="J187">
        <v>0</v>
      </c>
      <c r="K187" s="10" t="s">
        <v>59</v>
      </c>
    </row>
    <row r="188" spans="1:12" x14ac:dyDescent="0.25">
      <c r="A188">
        <v>2020</v>
      </c>
      <c r="B188" s="1">
        <v>44051</v>
      </c>
      <c r="C188" s="5">
        <f t="shared" si="2"/>
        <v>221</v>
      </c>
      <c r="D188">
        <v>2</v>
      </c>
      <c r="E188" t="s">
        <v>10</v>
      </c>
      <c r="F188">
        <v>0</v>
      </c>
      <c r="G188">
        <v>0</v>
      </c>
      <c r="H188">
        <v>0</v>
      </c>
      <c r="I188">
        <v>0</v>
      </c>
      <c r="J188">
        <v>0</v>
      </c>
      <c r="K188" s="10" t="s">
        <v>59</v>
      </c>
      <c r="L188" t="s">
        <v>26</v>
      </c>
    </row>
    <row r="189" spans="1:12" x14ac:dyDescent="0.25">
      <c r="A189">
        <v>2020</v>
      </c>
      <c r="B189" s="1">
        <v>44051</v>
      </c>
      <c r="C189" s="5">
        <f t="shared" si="2"/>
        <v>221</v>
      </c>
      <c r="D189">
        <v>18</v>
      </c>
      <c r="E189" t="s">
        <v>9</v>
      </c>
      <c r="F189">
        <v>5</v>
      </c>
      <c r="G189">
        <v>0</v>
      </c>
      <c r="H189">
        <v>0</v>
      </c>
      <c r="I189">
        <v>0</v>
      </c>
      <c r="J189">
        <v>0</v>
      </c>
      <c r="K189" s="10" t="s">
        <v>59</v>
      </c>
    </row>
    <row r="190" spans="1:12" x14ac:dyDescent="0.25">
      <c r="A190">
        <v>2020</v>
      </c>
      <c r="B190" s="1">
        <v>44051</v>
      </c>
      <c r="C190" s="5">
        <f t="shared" si="2"/>
        <v>221</v>
      </c>
      <c r="D190">
        <v>17</v>
      </c>
      <c r="E190" t="s">
        <v>9</v>
      </c>
      <c r="F190">
        <v>1</v>
      </c>
      <c r="G190">
        <v>22</v>
      </c>
      <c r="H190">
        <v>0</v>
      </c>
      <c r="I190">
        <v>0</v>
      </c>
      <c r="J190">
        <v>0</v>
      </c>
      <c r="K190" s="10" t="s">
        <v>59</v>
      </c>
    </row>
    <row r="191" spans="1:12" x14ac:dyDescent="0.25">
      <c r="A191">
        <v>2020</v>
      </c>
      <c r="B191" s="1">
        <v>44051</v>
      </c>
      <c r="C191" s="5">
        <f t="shared" si="2"/>
        <v>221</v>
      </c>
      <c r="D191">
        <v>14</v>
      </c>
      <c r="E191" t="s">
        <v>9</v>
      </c>
      <c r="F191">
        <v>4</v>
      </c>
      <c r="G191">
        <v>0</v>
      </c>
      <c r="H191">
        <v>0</v>
      </c>
      <c r="I191">
        <v>0</v>
      </c>
      <c r="J191">
        <v>0</v>
      </c>
      <c r="K191" s="10" t="s">
        <v>59</v>
      </c>
    </row>
    <row r="192" spans="1:12" x14ac:dyDescent="0.25">
      <c r="A192">
        <v>2020</v>
      </c>
      <c r="B192" s="1">
        <v>44051</v>
      </c>
      <c r="C192" s="5">
        <f t="shared" si="2"/>
        <v>221</v>
      </c>
      <c r="D192">
        <v>6</v>
      </c>
      <c r="E192" t="s">
        <v>9</v>
      </c>
      <c r="F192">
        <v>0</v>
      </c>
      <c r="G192">
        <v>1</v>
      </c>
      <c r="H192">
        <v>0</v>
      </c>
      <c r="I192">
        <v>0</v>
      </c>
      <c r="J192">
        <v>0</v>
      </c>
      <c r="K192" s="10" t="s">
        <v>59</v>
      </c>
    </row>
    <row r="193" spans="1:12" x14ac:dyDescent="0.25">
      <c r="A193">
        <v>2020</v>
      </c>
      <c r="B193" s="1">
        <v>44051</v>
      </c>
      <c r="C193" s="5">
        <f t="shared" si="2"/>
        <v>221</v>
      </c>
      <c r="D193">
        <v>1</v>
      </c>
      <c r="E193" t="s">
        <v>9</v>
      </c>
      <c r="F193">
        <v>1</v>
      </c>
      <c r="G193">
        <v>0</v>
      </c>
      <c r="H193">
        <v>0</v>
      </c>
      <c r="I193">
        <v>0</v>
      </c>
      <c r="J193">
        <v>0</v>
      </c>
      <c r="K193" s="10" t="s">
        <v>59</v>
      </c>
      <c r="L193" t="s">
        <v>26</v>
      </c>
    </row>
    <row r="194" spans="1:12" x14ac:dyDescent="0.25">
      <c r="A194">
        <v>2020</v>
      </c>
      <c r="B194" s="1">
        <v>44051</v>
      </c>
      <c r="C194" s="5">
        <f t="shared" ref="C194:C257" si="3">B194-DATE(YEAR(B194),1,0)</f>
        <v>221</v>
      </c>
      <c r="D194">
        <v>19</v>
      </c>
      <c r="E194" t="s">
        <v>7</v>
      </c>
      <c r="F194">
        <v>86</v>
      </c>
      <c r="G194">
        <v>4</v>
      </c>
      <c r="H194">
        <v>0</v>
      </c>
      <c r="I194">
        <v>0</v>
      </c>
      <c r="J194">
        <v>0</v>
      </c>
      <c r="K194" s="10" t="s">
        <v>59</v>
      </c>
    </row>
    <row r="195" spans="1:12" x14ac:dyDescent="0.25">
      <c r="A195">
        <v>2020</v>
      </c>
      <c r="B195" s="1">
        <v>44051</v>
      </c>
      <c r="C195" s="5">
        <f t="shared" si="3"/>
        <v>221</v>
      </c>
      <c r="D195">
        <v>13</v>
      </c>
      <c r="E195" t="s">
        <v>7</v>
      </c>
      <c r="F195">
        <v>40</v>
      </c>
      <c r="G195">
        <v>14</v>
      </c>
      <c r="H195">
        <v>0</v>
      </c>
      <c r="I195">
        <v>0</v>
      </c>
      <c r="J195">
        <v>0</v>
      </c>
      <c r="K195" s="10" t="s">
        <v>59</v>
      </c>
    </row>
    <row r="196" spans="1:12" x14ac:dyDescent="0.25">
      <c r="A196">
        <v>2020</v>
      </c>
      <c r="B196" s="1">
        <v>44051</v>
      </c>
      <c r="C196" s="5">
        <f t="shared" si="3"/>
        <v>221</v>
      </c>
      <c r="D196">
        <v>11</v>
      </c>
      <c r="E196" t="s">
        <v>7</v>
      </c>
      <c r="F196">
        <v>17</v>
      </c>
      <c r="G196">
        <v>7</v>
      </c>
      <c r="H196">
        <v>0</v>
      </c>
      <c r="I196">
        <v>0</v>
      </c>
      <c r="J196">
        <v>0</v>
      </c>
      <c r="K196" s="10" t="s">
        <v>59</v>
      </c>
    </row>
    <row r="197" spans="1:12" x14ac:dyDescent="0.25">
      <c r="A197">
        <v>2020</v>
      </c>
      <c r="B197" s="1">
        <v>44051</v>
      </c>
      <c r="C197" s="5">
        <f t="shared" si="3"/>
        <v>221</v>
      </c>
      <c r="D197">
        <v>7</v>
      </c>
      <c r="E197" t="s">
        <v>7</v>
      </c>
      <c r="F197">
        <v>31</v>
      </c>
      <c r="G197">
        <v>8</v>
      </c>
      <c r="H197">
        <v>0</v>
      </c>
      <c r="I197">
        <v>0</v>
      </c>
      <c r="J197">
        <v>1</v>
      </c>
      <c r="K197" s="10" t="s">
        <v>59</v>
      </c>
      <c r="L197" t="s">
        <v>41</v>
      </c>
    </row>
    <row r="198" spans="1:12" x14ac:dyDescent="0.25">
      <c r="A198">
        <v>2020</v>
      </c>
      <c r="B198" s="1">
        <v>44051</v>
      </c>
      <c r="C198" s="5">
        <f t="shared" si="3"/>
        <v>221</v>
      </c>
      <c r="D198">
        <v>16</v>
      </c>
      <c r="E198" t="s">
        <v>8</v>
      </c>
      <c r="F198">
        <v>5</v>
      </c>
      <c r="G198">
        <v>30</v>
      </c>
      <c r="H198">
        <v>0</v>
      </c>
      <c r="I198">
        <v>0</v>
      </c>
      <c r="J198">
        <v>0</v>
      </c>
      <c r="K198" s="10" t="s">
        <v>59</v>
      </c>
    </row>
    <row r="199" spans="1:12" x14ac:dyDescent="0.25">
      <c r="A199">
        <v>2020</v>
      </c>
      <c r="B199" s="1">
        <v>44051</v>
      </c>
      <c r="C199" s="5">
        <f t="shared" si="3"/>
        <v>221</v>
      </c>
      <c r="D199">
        <v>15</v>
      </c>
      <c r="E199" t="s">
        <v>8</v>
      </c>
      <c r="F199">
        <v>31</v>
      </c>
      <c r="G199">
        <v>15</v>
      </c>
      <c r="H199">
        <v>0</v>
      </c>
      <c r="I199">
        <v>0</v>
      </c>
      <c r="J199">
        <v>0</v>
      </c>
      <c r="K199" s="10" t="s">
        <v>59</v>
      </c>
    </row>
    <row r="200" spans="1:12" x14ac:dyDescent="0.25">
      <c r="A200">
        <v>2020</v>
      </c>
      <c r="B200" s="1">
        <v>44051</v>
      </c>
      <c r="C200" s="5">
        <f t="shared" si="3"/>
        <v>221</v>
      </c>
      <c r="D200">
        <v>12</v>
      </c>
      <c r="E200" t="s">
        <v>8</v>
      </c>
      <c r="F200">
        <v>12</v>
      </c>
      <c r="G200">
        <v>7</v>
      </c>
      <c r="H200">
        <v>0</v>
      </c>
      <c r="I200">
        <v>0</v>
      </c>
      <c r="J200">
        <v>0</v>
      </c>
      <c r="K200" s="10" t="s">
        <v>59</v>
      </c>
    </row>
    <row r="201" spans="1:12" x14ac:dyDescent="0.25">
      <c r="A201">
        <v>2020</v>
      </c>
      <c r="B201" s="1">
        <v>44051</v>
      </c>
      <c r="C201" s="5">
        <f t="shared" si="3"/>
        <v>221</v>
      </c>
      <c r="D201">
        <v>9</v>
      </c>
      <c r="E201" t="s">
        <v>8</v>
      </c>
      <c r="F201">
        <v>6</v>
      </c>
      <c r="G201">
        <v>0</v>
      </c>
      <c r="H201">
        <v>0</v>
      </c>
      <c r="I201">
        <v>0</v>
      </c>
      <c r="J201">
        <v>0</v>
      </c>
      <c r="K201" s="10" t="s">
        <v>59</v>
      </c>
    </row>
    <row r="202" spans="1:12" x14ac:dyDescent="0.25">
      <c r="A202">
        <v>2020</v>
      </c>
      <c r="B202" s="1">
        <v>44051</v>
      </c>
      <c r="C202" s="5">
        <f t="shared" si="3"/>
        <v>221</v>
      </c>
      <c r="D202">
        <v>8</v>
      </c>
      <c r="E202" t="s">
        <v>8</v>
      </c>
      <c r="F202">
        <v>3</v>
      </c>
      <c r="G202">
        <v>2</v>
      </c>
      <c r="H202">
        <v>0</v>
      </c>
      <c r="I202">
        <v>0</v>
      </c>
      <c r="J202">
        <v>0</v>
      </c>
      <c r="K202" s="10" t="s">
        <v>59</v>
      </c>
    </row>
    <row r="203" spans="1:12" x14ac:dyDescent="0.25">
      <c r="A203">
        <v>2020</v>
      </c>
      <c r="B203" s="1">
        <v>44051</v>
      </c>
      <c r="C203" s="5">
        <f t="shared" si="3"/>
        <v>221</v>
      </c>
      <c r="D203">
        <v>3</v>
      </c>
      <c r="E203" t="s">
        <v>8</v>
      </c>
      <c r="F203">
        <v>16</v>
      </c>
      <c r="G203">
        <v>3</v>
      </c>
      <c r="H203">
        <v>0</v>
      </c>
      <c r="I203">
        <v>0</v>
      </c>
      <c r="J203">
        <v>0</v>
      </c>
      <c r="K203" s="10" t="s">
        <v>59</v>
      </c>
      <c r="L203" t="s">
        <v>25</v>
      </c>
    </row>
    <row r="204" spans="1:12" x14ac:dyDescent="0.25">
      <c r="A204">
        <v>2020</v>
      </c>
      <c r="B204" s="1">
        <v>44054</v>
      </c>
      <c r="C204" s="5">
        <f t="shared" si="3"/>
        <v>224</v>
      </c>
      <c r="D204">
        <v>14</v>
      </c>
      <c r="E204" t="s">
        <v>10</v>
      </c>
      <c r="F204">
        <v>0</v>
      </c>
      <c r="G204">
        <v>1</v>
      </c>
      <c r="H204">
        <v>0</v>
      </c>
      <c r="I204">
        <v>0</v>
      </c>
      <c r="J204">
        <v>0</v>
      </c>
      <c r="K204" s="10" t="s">
        <v>59</v>
      </c>
    </row>
    <row r="205" spans="1:12" x14ac:dyDescent="0.25">
      <c r="A205">
        <v>2020</v>
      </c>
      <c r="B205" s="1">
        <v>44054</v>
      </c>
      <c r="C205" s="5">
        <f t="shared" si="3"/>
        <v>224</v>
      </c>
      <c r="D205">
        <v>11</v>
      </c>
      <c r="E205" t="s">
        <v>10</v>
      </c>
      <c r="F205">
        <v>3</v>
      </c>
      <c r="G205">
        <v>52</v>
      </c>
      <c r="H205">
        <v>0</v>
      </c>
      <c r="I205">
        <v>0</v>
      </c>
      <c r="J205">
        <v>0</v>
      </c>
      <c r="K205" s="10" t="s">
        <v>59</v>
      </c>
    </row>
    <row r="206" spans="1:12" x14ac:dyDescent="0.25">
      <c r="A206">
        <v>2020</v>
      </c>
      <c r="B206" s="1">
        <v>44054</v>
      </c>
      <c r="C206" s="5">
        <f t="shared" si="3"/>
        <v>224</v>
      </c>
      <c r="D206">
        <v>10</v>
      </c>
      <c r="E206" t="s">
        <v>10</v>
      </c>
      <c r="F206">
        <v>2</v>
      </c>
      <c r="G206">
        <v>6</v>
      </c>
      <c r="H206">
        <v>0</v>
      </c>
      <c r="I206">
        <v>0</v>
      </c>
      <c r="J206">
        <v>0</v>
      </c>
      <c r="K206" s="10" t="s">
        <v>59</v>
      </c>
    </row>
    <row r="207" spans="1:12" x14ac:dyDescent="0.25">
      <c r="A207">
        <v>2020</v>
      </c>
      <c r="B207" s="1">
        <v>44054</v>
      </c>
      <c r="C207" s="5">
        <f t="shared" si="3"/>
        <v>224</v>
      </c>
      <c r="D207">
        <v>9</v>
      </c>
      <c r="E207" t="s">
        <v>10</v>
      </c>
      <c r="F207">
        <v>4</v>
      </c>
      <c r="G207">
        <v>15</v>
      </c>
      <c r="H207">
        <v>0</v>
      </c>
      <c r="I207">
        <v>0</v>
      </c>
      <c r="J207">
        <v>0</v>
      </c>
      <c r="K207" s="10" t="s">
        <v>59</v>
      </c>
    </row>
    <row r="208" spans="1:12" x14ac:dyDescent="0.25">
      <c r="A208">
        <v>2020</v>
      </c>
      <c r="B208" s="1">
        <v>44054</v>
      </c>
      <c r="C208" s="5">
        <f t="shared" si="3"/>
        <v>224</v>
      </c>
      <c r="D208">
        <v>2</v>
      </c>
      <c r="E208" t="s">
        <v>10</v>
      </c>
      <c r="F208">
        <v>4</v>
      </c>
      <c r="G208">
        <v>2</v>
      </c>
      <c r="H208">
        <v>0</v>
      </c>
      <c r="I208">
        <v>0</v>
      </c>
      <c r="J208">
        <v>0</v>
      </c>
      <c r="K208" s="10" t="s">
        <v>59</v>
      </c>
    </row>
    <row r="209" spans="1:12" x14ac:dyDescent="0.25">
      <c r="A209">
        <v>2020</v>
      </c>
      <c r="B209" s="1">
        <v>44054</v>
      </c>
      <c r="C209" s="5">
        <f t="shared" si="3"/>
        <v>224</v>
      </c>
      <c r="D209">
        <v>20</v>
      </c>
      <c r="E209" t="s">
        <v>9</v>
      </c>
      <c r="F209">
        <v>1</v>
      </c>
      <c r="G209">
        <v>0</v>
      </c>
      <c r="H209">
        <v>0</v>
      </c>
      <c r="I209">
        <v>0</v>
      </c>
      <c r="J209">
        <v>0</v>
      </c>
      <c r="K209" s="10" t="s">
        <v>59</v>
      </c>
    </row>
    <row r="210" spans="1:12" x14ac:dyDescent="0.25">
      <c r="A210">
        <v>2020</v>
      </c>
      <c r="B210" s="1">
        <v>44054</v>
      </c>
      <c r="C210" s="5">
        <f t="shared" si="3"/>
        <v>224</v>
      </c>
      <c r="D210">
        <v>17</v>
      </c>
      <c r="E210" t="s">
        <v>9</v>
      </c>
      <c r="F210">
        <v>3</v>
      </c>
      <c r="G210">
        <v>4</v>
      </c>
      <c r="H210">
        <v>0</v>
      </c>
      <c r="I210">
        <v>0</v>
      </c>
      <c r="J210">
        <v>0</v>
      </c>
      <c r="K210" s="10" t="s">
        <v>59</v>
      </c>
    </row>
    <row r="211" spans="1:12" x14ac:dyDescent="0.25">
      <c r="A211">
        <v>2020</v>
      </c>
      <c r="B211" s="1">
        <v>44054</v>
      </c>
      <c r="C211" s="5">
        <f t="shared" si="3"/>
        <v>224</v>
      </c>
      <c r="D211">
        <v>16</v>
      </c>
      <c r="E211" t="s">
        <v>9</v>
      </c>
      <c r="F211">
        <v>1</v>
      </c>
      <c r="G211">
        <v>0</v>
      </c>
      <c r="H211">
        <v>0</v>
      </c>
      <c r="I211">
        <v>0</v>
      </c>
      <c r="J211">
        <v>0</v>
      </c>
      <c r="K211" s="10" t="s">
        <v>59</v>
      </c>
      <c r="L211" t="s">
        <v>29</v>
      </c>
    </row>
    <row r="212" spans="1:12" x14ac:dyDescent="0.25">
      <c r="A212">
        <v>2020</v>
      </c>
      <c r="B212" s="1">
        <v>44054</v>
      </c>
      <c r="C212" s="5">
        <f t="shared" si="3"/>
        <v>224</v>
      </c>
      <c r="D212">
        <v>13</v>
      </c>
      <c r="E212" t="s">
        <v>9</v>
      </c>
      <c r="F212">
        <v>0</v>
      </c>
      <c r="G212">
        <v>1</v>
      </c>
      <c r="H212">
        <v>0</v>
      </c>
      <c r="I212">
        <v>0</v>
      </c>
      <c r="J212">
        <v>0</v>
      </c>
      <c r="K212" s="10" t="s">
        <v>59</v>
      </c>
    </row>
    <row r="213" spans="1:12" x14ac:dyDescent="0.25">
      <c r="A213">
        <v>2020</v>
      </c>
      <c r="B213" s="1">
        <v>44054</v>
      </c>
      <c r="C213" s="5">
        <f t="shared" si="3"/>
        <v>224</v>
      </c>
      <c r="D213">
        <v>8</v>
      </c>
      <c r="E213" t="s">
        <v>9</v>
      </c>
      <c r="F213">
        <v>5</v>
      </c>
      <c r="G213">
        <v>10</v>
      </c>
      <c r="H213">
        <v>1</v>
      </c>
      <c r="I213">
        <v>0</v>
      </c>
      <c r="J213">
        <v>0</v>
      </c>
      <c r="K213" s="10" t="s">
        <v>59</v>
      </c>
    </row>
    <row r="214" spans="1:12" x14ac:dyDescent="0.25">
      <c r="A214">
        <v>2020</v>
      </c>
      <c r="B214" s="1">
        <v>44054</v>
      </c>
      <c r="C214" s="5">
        <f t="shared" si="3"/>
        <v>224</v>
      </c>
      <c r="D214">
        <v>19</v>
      </c>
      <c r="E214" t="s">
        <v>7</v>
      </c>
      <c r="F214">
        <v>14</v>
      </c>
      <c r="G214">
        <v>1</v>
      </c>
      <c r="H214">
        <v>0</v>
      </c>
      <c r="I214">
        <v>0</v>
      </c>
      <c r="J214">
        <v>0</v>
      </c>
      <c r="K214" s="10" t="s">
        <v>59</v>
      </c>
    </row>
    <row r="215" spans="1:12" x14ac:dyDescent="0.25">
      <c r="A215">
        <v>2020</v>
      </c>
      <c r="B215" s="1">
        <v>44054</v>
      </c>
      <c r="C215" s="5">
        <f t="shared" si="3"/>
        <v>224</v>
      </c>
      <c r="D215">
        <v>7</v>
      </c>
      <c r="E215" t="s">
        <v>7</v>
      </c>
      <c r="F215">
        <v>78</v>
      </c>
      <c r="G215">
        <v>12</v>
      </c>
      <c r="H215">
        <v>0</v>
      </c>
      <c r="I215">
        <v>0</v>
      </c>
      <c r="J215">
        <v>0</v>
      </c>
      <c r="K215" s="10" t="s">
        <v>59</v>
      </c>
    </row>
    <row r="216" spans="1:12" x14ac:dyDescent="0.25">
      <c r="A216">
        <v>2020</v>
      </c>
      <c r="B216" s="1">
        <v>44054</v>
      </c>
      <c r="C216" s="5">
        <f t="shared" si="3"/>
        <v>224</v>
      </c>
      <c r="D216">
        <v>5</v>
      </c>
      <c r="E216" t="s">
        <v>7</v>
      </c>
      <c r="F216">
        <v>71</v>
      </c>
      <c r="G216">
        <v>7</v>
      </c>
      <c r="H216">
        <v>0</v>
      </c>
      <c r="I216">
        <v>0</v>
      </c>
      <c r="J216">
        <v>0</v>
      </c>
      <c r="K216" s="10" t="s">
        <v>59</v>
      </c>
    </row>
    <row r="217" spans="1:12" x14ac:dyDescent="0.25">
      <c r="A217">
        <v>2020</v>
      </c>
      <c r="B217" s="1">
        <v>44054</v>
      </c>
      <c r="C217" s="5">
        <f t="shared" si="3"/>
        <v>224</v>
      </c>
      <c r="D217">
        <v>4</v>
      </c>
      <c r="E217" t="s">
        <v>7</v>
      </c>
      <c r="F217">
        <v>17</v>
      </c>
      <c r="G217">
        <v>3</v>
      </c>
      <c r="H217">
        <v>0</v>
      </c>
      <c r="I217">
        <v>0</v>
      </c>
      <c r="J217">
        <v>0</v>
      </c>
      <c r="K217" s="10" t="s">
        <v>59</v>
      </c>
    </row>
    <row r="218" spans="1:12" x14ac:dyDescent="0.25">
      <c r="A218">
        <v>2020</v>
      </c>
      <c r="B218" s="1">
        <v>44054</v>
      </c>
      <c r="C218" s="5">
        <f t="shared" si="3"/>
        <v>224</v>
      </c>
      <c r="D218">
        <v>1</v>
      </c>
      <c r="E218" t="s">
        <v>7</v>
      </c>
      <c r="F218">
        <v>64</v>
      </c>
      <c r="G218">
        <v>1</v>
      </c>
      <c r="H218">
        <v>0</v>
      </c>
      <c r="I218">
        <v>0</v>
      </c>
      <c r="J218">
        <v>0</v>
      </c>
      <c r="K218" s="10" t="s">
        <v>59</v>
      </c>
      <c r="L218" t="s">
        <v>30</v>
      </c>
    </row>
    <row r="219" spans="1:12" x14ac:dyDescent="0.25">
      <c r="A219">
        <v>2020</v>
      </c>
      <c r="B219" s="1">
        <v>44054</v>
      </c>
      <c r="C219" s="5">
        <f t="shared" si="3"/>
        <v>224</v>
      </c>
      <c r="D219">
        <v>18</v>
      </c>
      <c r="E219" t="s">
        <v>8</v>
      </c>
      <c r="F219">
        <v>4</v>
      </c>
      <c r="G219">
        <v>0</v>
      </c>
      <c r="H219">
        <v>0</v>
      </c>
      <c r="I219">
        <v>0</v>
      </c>
      <c r="J219">
        <v>0</v>
      </c>
      <c r="K219" s="10" t="s">
        <v>59</v>
      </c>
    </row>
    <row r="220" spans="1:12" x14ac:dyDescent="0.25">
      <c r="A220">
        <v>2020</v>
      </c>
      <c r="B220" s="1">
        <v>44054</v>
      </c>
      <c r="C220" s="5">
        <f t="shared" si="3"/>
        <v>224</v>
      </c>
      <c r="D220">
        <v>15</v>
      </c>
      <c r="E220" t="s">
        <v>8</v>
      </c>
      <c r="F220">
        <v>4</v>
      </c>
      <c r="G220">
        <v>0</v>
      </c>
      <c r="H220">
        <v>0</v>
      </c>
      <c r="I220">
        <v>0</v>
      </c>
      <c r="J220">
        <v>0</v>
      </c>
      <c r="K220" s="10" t="s">
        <v>59</v>
      </c>
    </row>
    <row r="221" spans="1:12" x14ac:dyDescent="0.25">
      <c r="A221">
        <v>2020</v>
      </c>
      <c r="B221" s="1">
        <v>44054</v>
      </c>
      <c r="C221" s="5">
        <f t="shared" si="3"/>
        <v>224</v>
      </c>
      <c r="D221">
        <v>12</v>
      </c>
      <c r="E221" t="s">
        <v>8</v>
      </c>
      <c r="F221">
        <v>10</v>
      </c>
      <c r="G221">
        <v>16</v>
      </c>
      <c r="H221">
        <v>0</v>
      </c>
      <c r="I221">
        <v>0</v>
      </c>
      <c r="J221">
        <v>0</v>
      </c>
      <c r="K221" s="10" t="s">
        <v>59</v>
      </c>
    </row>
    <row r="222" spans="1:12" x14ac:dyDescent="0.25">
      <c r="A222">
        <v>2020</v>
      </c>
      <c r="B222" s="1">
        <v>44054</v>
      </c>
      <c r="C222" s="5">
        <f t="shared" si="3"/>
        <v>224</v>
      </c>
      <c r="D222">
        <v>6</v>
      </c>
      <c r="E222" t="s">
        <v>8</v>
      </c>
      <c r="F222">
        <v>6</v>
      </c>
      <c r="G222">
        <v>2</v>
      </c>
      <c r="H222">
        <v>0</v>
      </c>
      <c r="I222">
        <v>0</v>
      </c>
      <c r="J222">
        <v>0</v>
      </c>
      <c r="K222" s="10" t="s">
        <v>59</v>
      </c>
    </row>
    <row r="223" spans="1:12" x14ac:dyDescent="0.25">
      <c r="A223">
        <v>2020</v>
      </c>
      <c r="B223" s="1">
        <v>44054</v>
      </c>
      <c r="C223" s="5">
        <f t="shared" si="3"/>
        <v>224</v>
      </c>
      <c r="D223">
        <v>3</v>
      </c>
      <c r="E223" t="s">
        <v>8</v>
      </c>
      <c r="F223">
        <v>3</v>
      </c>
      <c r="G223">
        <v>4</v>
      </c>
      <c r="H223">
        <v>0</v>
      </c>
      <c r="I223">
        <v>0</v>
      </c>
      <c r="J223">
        <v>0</v>
      </c>
      <c r="K223" s="10" t="s">
        <v>59</v>
      </c>
    </row>
    <row r="224" spans="1:12" x14ac:dyDescent="0.25">
      <c r="A224">
        <v>2025</v>
      </c>
      <c r="B224" s="1">
        <v>45885</v>
      </c>
      <c r="C224" s="5">
        <f t="shared" si="3"/>
        <v>228</v>
      </c>
      <c r="D224">
        <v>3</v>
      </c>
      <c r="E224" t="s">
        <v>10</v>
      </c>
      <c r="F224">
        <v>0</v>
      </c>
      <c r="G224">
        <v>0</v>
      </c>
      <c r="H224">
        <v>0</v>
      </c>
      <c r="I224">
        <v>0</v>
      </c>
      <c r="J224">
        <v>0</v>
      </c>
      <c r="K224" s="10" t="s">
        <v>59</v>
      </c>
    </row>
    <row r="225" spans="1:12" x14ac:dyDescent="0.25">
      <c r="A225">
        <v>2025</v>
      </c>
      <c r="B225" s="1">
        <v>45885</v>
      </c>
      <c r="C225" s="5">
        <f t="shared" si="3"/>
        <v>228</v>
      </c>
      <c r="D225">
        <v>7</v>
      </c>
      <c r="E225" t="s">
        <v>10</v>
      </c>
      <c r="F225">
        <v>0</v>
      </c>
      <c r="G225">
        <v>1</v>
      </c>
      <c r="H225">
        <v>0</v>
      </c>
      <c r="I225">
        <v>0</v>
      </c>
      <c r="J225">
        <v>0</v>
      </c>
      <c r="K225" s="10" t="s">
        <v>59</v>
      </c>
    </row>
    <row r="226" spans="1:12" x14ac:dyDescent="0.25">
      <c r="A226">
        <v>2025</v>
      </c>
      <c r="B226" s="1">
        <v>45885</v>
      </c>
      <c r="C226" s="5">
        <f t="shared" si="3"/>
        <v>228</v>
      </c>
      <c r="D226">
        <v>10</v>
      </c>
      <c r="E226" t="s">
        <v>10</v>
      </c>
      <c r="F226">
        <v>2</v>
      </c>
      <c r="G226">
        <v>0</v>
      </c>
      <c r="H226">
        <v>0</v>
      </c>
      <c r="I226">
        <v>0</v>
      </c>
      <c r="J226">
        <v>0</v>
      </c>
      <c r="K226" s="10" t="s">
        <v>59</v>
      </c>
    </row>
    <row r="227" spans="1:12" x14ac:dyDescent="0.25">
      <c r="A227">
        <v>2025</v>
      </c>
      <c r="B227" s="1">
        <v>45885</v>
      </c>
      <c r="C227" s="5">
        <f t="shared" si="3"/>
        <v>228</v>
      </c>
      <c r="D227">
        <v>13</v>
      </c>
      <c r="E227" t="s">
        <v>10</v>
      </c>
      <c r="F227">
        <v>0</v>
      </c>
      <c r="G227">
        <v>0</v>
      </c>
      <c r="H227">
        <v>0</v>
      </c>
      <c r="I227">
        <v>0</v>
      </c>
      <c r="J227">
        <v>0</v>
      </c>
      <c r="K227" s="10" t="s">
        <v>59</v>
      </c>
    </row>
    <row r="228" spans="1:12" x14ac:dyDescent="0.25">
      <c r="A228">
        <v>2025</v>
      </c>
      <c r="B228" s="1">
        <v>45885</v>
      </c>
      <c r="C228" s="5">
        <f t="shared" si="3"/>
        <v>228</v>
      </c>
      <c r="D228">
        <v>19</v>
      </c>
      <c r="E228" t="s">
        <v>10</v>
      </c>
      <c r="F228">
        <v>0</v>
      </c>
      <c r="G228">
        <v>0</v>
      </c>
      <c r="H228">
        <v>0</v>
      </c>
      <c r="I228">
        <v>0</v>
      </c>
      <c r="J228">
        <v>0</v>
      </c>
      <c r="K228" s="10" t="s">
        <v>59</v>
      </c>
    </row>
    <row r="229" spans="1:12" x14ac:dyDescent="0.25">
      <c r="A229">
        <v>2025</v>
      </c>
      <c r="B229" s="1">
        <v>45885</v>
      </c>
      <c r="C229" s="5">
        <f t="shared" si="3"/>
        <v>228</v>
      </c>
      <c r="D229">
        <v>2</v>
      </c>
      <c r="E229" t="s">
        <v>9</v>
      </c>
      <c r="F229">
        <v>1</v>
      </c>
      <c r="G229">
        <v>3</v>
      </c>
      <c r="H229">
        <v>0</v>
      </c>
      <c r="I229">
        <v>0</v>
      </c>
      <c r="J229">
        <v>0</v>
      </c>
      <c r="K229" s="10" t="s">
        <v>59</v>
      </c>
    </row>
    <row r="230" spans="1:12" x14ac:dyDescent="0.25">
      <c r="A230">
        <v>2025</v>
      </c>
      <c r="B230" s="1">
        <v>45885</v>
      </c>
      <c r="C230" s="5">
        <f t="shared" si="3"/>
        <v>228</v>
      </c>
      <c r="D230">
        <v>8</v>
      </c>
      <c r="E230" t="s">
        <v>9</v>
      </c>
      <c r="F230">
        <v>0</v>
      </c>
      <c r="G230">
        <v>0</v>
      </c>
      <c r="H230">
        <v>0</v>
      </c>
      <c r="I230">
        <v>0</v>
      </c>
      <c r="J230">
        <v>0</v>
      </c>
      <c r="K230" s="10" t="s">
        <v>59</v>
      </c>
    </row>
    <row r="231" spans="1:12" x14ac:dyDescent="0.25">
      <c r="A231">
        <v>2025</v>
      </c>
      <c r="B231" s="1">
        <v>45885</v>
      </c>
      <c r="C231" s="5">
        <f t="shared" si="3"/>
        <v>228</v>
      </c>
      <c r="D231">
        <v>12</v>
      </c>
      <c r="E231" t="s">
        <v>9</v>
      </c>
      <c r="F231">
        <v>0</v>
      </c>
      <c r="G231">
        <v>0</v>
      </c>
      <c r="H231">
        <v>0</v>
      </c>
      <c r="I231">
        <v>0</v>
      </c>
      <c r="J231">
        <v>0</v>
      </c>
      <c r="K231" s="10" t="s">
        <v>59</v>
      </c>
    </row>
    <row r="232" spans="1:12" x14ac:dyDescent="0.25">
      <c r="A232">
        <v>2025</v>
      </c>
      <c r="B232" s="1">
        <v>45885</v>
      </c>
      <c r="C232" s="5">
        <f t="shared" si="3"/>
        <v>228</v>
      </c>
      <c r="D232">
        <v>14</v>
      </c>
      <c r="E232" t="s">
        <v>9</v>
      </c>
      <c r="F232">
        <v>0</v>
      </c>
      <c r="G232">
        <v>0</v>
      </c>
      <c r="H232">
        <v>0</v>
      </c>
      <c r="I232">
        <v>0</v>
      </c>
      <c r="J232">
        <v>0</v>
      </c>
      <c r="K232" s="10" t="s">
        <v>59</v>
      </c>
    </row>
    <row r="233" spans="1:12" x14ac:dyDescent="0.25">
      <c r="A233">
        <v>2025</v>
      </c>
      <c r="B233" s="1">
        <v>45885</v>
      </c>
      <c r="C233" s="5">
        <f t="shared" si="3"/>
        <v>228</v>
      </c>
      <c r="D233">
        <v>20</v>
      </c>
      <c r="E233" t="s">
        <v>9</v>
      </c>
      <c r="F233">
        <v>0</v>
      </c>
      <c r="G233">
        <v>0</v>
      </c>
      <c r="H233">
        <v>0</v>
      </c>
      <c r="I233">
        <v>0</v>
      </c>
      <c r="J233">
        <v>0</v>
      </c>
      <c r="K233" s="10" t="s">
        <v>59</v>
      </c>
      <c r="L233" t="s">
        <v>42</v>
      </c>
    </row>
    <row r="234" spans="1:12" x14ac:dyDescent="0.25">
      <c r="A234">
        <v>2025</v>
      </c>
      <c r="B234" s="1">
        <v>45885</v>
      </c>
      <c r="C234" s="5">
        <f t="shared" si="3"/>
        <v>228</v>
      </c>
      <c r="D234">
        <v>1</v>
      </c>
      <c r="E234" t="s">
        <v>7</v>
      </c>
      <c r="F234">
        <v>61</v>
      </c>
      <c r="G234">
        <v>0</v>
      </c>
      <c r="H234">
        <v>0</v>
      </c>
      <c r="I234">
        <v>0</v>
      </c>
      <c r="J234">
        <v>0</v>
      </c>
      <c r="K234" s="10" t="s">
        <v>59</v>
      </c>
    </row>
    <row r="235" spans="1:12" x14ac:dyDescent="0.25">
      <c r="A235">
        <v>2025</v>
      </c>
      <c r="B235" s="1">
        <v>45885</v>
      </c>
      <c r="C235" s="5">
        <f t="shared" si="3"/>
        <v>228</v>
      </c>
      <c r="D235">
        <v>6</v>
      </c>
      <c r="E235" t="s">
        <v>7</v>
      </c>
      <c r="F235">
        <v>4</v>
      </c>
      <c r="G235">
        <v>0</v>
      </c>
      <c r="H235">
        <v>0</v>
      </c>
      <c r="I235">
        <v>0</v>
      </c>
      <c r="J235">
        <v>0</v>
      </c>
      <c r="K235" s="10" t="s">
        <v>59</v>
      </c>
    </row>
    <row r="236" spans="1:12" x14ac:dyDescent="0.25">
      <c r="A236">
        <v>2025</v>
      </c>
      <c r="B236" s="1">
        <v>45885</v>
      </c>
      <c r="C236" s="5">
        <f t="shared" si="3"/>
        <v>228</v>
      </c>
      <c r="D236">
        <v>9</v>
      </c>
      <c r="E236" t="s">
        <v>7</v>
      </c>
      <c r="F236">
        <v>6</v>
      </c>
      <c r="G236">
        <v>0</v>
      </c>
      <c r="H236">
        <v>0</v>
      </c>
      <c r="I236">
        <v>0</v>
      </c>
      <c r="J236">
        <v>0</v>
      </c>
      <c r="K236" s="10" t="s">
        <v>59</v>
      </c>
    </row>
    <row r="237" spans="1:12" x14ac:dyDescent="0.25">
      <c r="A237">
        <v>2025</v>
      </c>
      <c r="B237" s="1">
        <v>45885</v>
      </c>
      <c r="C237" s="5">
        <f t="shared" si="3"/>
        <v>228</v>
      </c>
      <c r="D237">
        <v>15</v>
      </c>
      <c r="E237" t="s">
        <v>7</v>
      </c>
      <c r="F237">
        <v>10</v>
      </c>
      <c r="G237">
        <v>3</v>
      </c>
      <c r="H237">
        <v>0</v>
      </c>
      <c r="I237">
        <v>0</v>
      </c>
      <c r="J237">
        <v>0</v>
      </c>
      <c r="K237" s="10" t="s">
        <v>59</v>
      </c>
    </row>
    <row r="238" spans="1:12" x14ac:dyDescent="0.25">
      <c r="A238">
        <v>2025</v>
      </c>
      <c r="B238" s="1">
        <v>45885</v>
      </c>
      <c r="C238" s="5">
        <f t="shared" si="3"/>
        <v>228</v>
      </c>
      <c r="D238">
        <v>17</v>
      </c>
      <c r="E238" t="s">
        <v>7</v>
      </c>
      <c r="F238">
        <v>10</v>
      </c>
      <c r="G238">
        <v>2</v>
      </c>
      <c r="H238">
        <v>0</v>
      </c>
      <c r="I238">
        <v>0</v>
      </c>
      <c r="J238">
        <v>0</v>
      </c>
      <c r="K238" s="10" t="s">
        <v>59</v>
      </c>
    </row>
    <row r="239" spans="1:12" x14ac:dyDescent="0.25">
      <c r="A239">
        <v>2025</v>
      </c>
      <c r="B239" s="1">
        <v>45885</v>
      </c>
      <c r="C239" s="5">
        <f t="shared" si="3"/>
        <v>228</v>
      </c>
      <c r="D239">
        <v>4</v>
      </c>
      <c r="E239" t="s">
        <v>8</v>
      </c>
      <c r="F239">
        <v>2</v>
      </c>
      <c r="G239">
        <v>0</v>
      </c>
      <c r="H239">
        <v>0</v>
      </c>
      <c r="I239">
        <v>0</v>
      </c>
      <c r="J239">
        <v>0</v>
      </c>
      <c r="K239" s="10" t="s">
        <v>59</v>
      </c>
      <c r="L239" t="s">
        <v>37</v>
      </c>
    </row>
    <row r="240" spans="1:12" x14ac:dyDescent="0.25">
      <c r="A240">
        <v>2025</v>
      </c>
      <c r="B240" s="1">
        <v>45885</v>
      </c>
      <c r="C240" s="5">
        <f t="shared" si="3"/>
        <v>228</v>
      </c>
      <c r="D240">
        <v>5</v>
      </c>
      <c r="E240" t="s">
        <v>8</v>
      </c>
      <c r="F240">
        <v>2</v>
      </c>
      <c r="G240">
        <v>0</v>
      </c>
      <c r="H240">
        <v>0</v>
      </c>
      <c r="I240">
        <v>0</v>
      </c>
      <c r="J240">
        <v>0</v>
      </c>
      <c r="K240" s="10" t="s">
        <v>59</v>
      </c>
      <c r="L240" t="s">
        <v>37</v>
      </c>
    </row>
    <row r="241" spans="1:12" x14ac:dyDescent="0.25">
      <c r="A241">
        <v>2025</v>
      </c>
      <c r="B241" s="1">
        <v>45885</v>
      </c>
      <c r="C241" s="5">
        <f t="shared" si="3"/>
        <v>228</v>
      </c>
      <c r="D241">
        <v>11</v>
      </c>
      <c r="E241" t="s">
        <v>8</v>
      </c>
      <c r="F241">
        <v>1</v>
      </c>
      <c r="G241">
        <v>0</v>
      </c>
      <c r="H241">
        <v>0</v>
      </c>
      <c r="I241">
        <v>0</v>
      </c>
      <c r="J241">
        <v>0</v>
      </c>
      <c r="K241" s="10" t="s">
        <v>59</v>
      </c>
      <c r="L241" t="s">
        <v>37</v>
      </c>
    </row>
    <row r="242" spans="1:12" x14ac:dyDescent="0.25">
      <c r="A242">
        <v>2025</v>
      </c>
      <c r="B242" s="1">
        <v>45885</v>
      </c>
      <c r="C242" s="5">
        <f t="shared" si="3"/>
        <v>228</v>
      </c>
      <c r="D242">
        <v>16</v>
      </c>
      <c r="E242" t="s">
        <v>8</v>
      </c>
      <c r="F242">
        <v>0</v>
      </c>
      <c r="G242">
        <v>0</v>
      </c>
      <c r="H242">
        <v>0</v>
      </c>
      <c r="I242">
        <v>0</v>
      </c>
      <c r="J242">
        <v>0</v>
      </c>
      <c r="K242" s="10" t="s">
        <v>59</v>
      </c>
      <c r="L242" t="s">
        <v>37</v>
      </c>
    </row>
    <row r="243" spans="1:12" x14ac:dyDescent="0.25">
      <c r="A243">
        <v>2025</v>
      </c>
      <c r="B243" s="1">
        <v>45885</v>
      </c>
      <c r="C243" s="5">
        <f t="shared" si="3"/>
        <v>228</v>
      </c>
      <c r="D243">
        <v>18</v>
      </c>
      <c r="E243" t="s">
        <v>8</v>
      </c>
      <c r="F243">
        <v>0</v>
      </c>
      <c r="G243">
        <v>0</v>
      </c>
      <c r="H243">
        <v>0</v>
      </c>
      <c r="I243">
        <v>0</v>
      </c>
      <c r="J243">
        <v>0</v>
      </c>
      <c r="K243" s="10" t="s">
        <v>59</v>
      </c>
      <c r="L243" t="s">
        <v>37</v>
      </c>
    </row>
    <row r="244" spans="1:12" x14ac:dyDescent="0.25">
      <c r="A244">
        <v>2025</v>
      </c>
      <c r="B244" s="1">
        <v>45887</v>
      </c>
      <c r="C244" s="5">
        <f t="shared" si="3"/>
        <v>230</v>
      </c>
      <c r="D244">
        <v>3</v>
      </c>
      <c r="E244" t="s">
        <v>10</v>
      </c>
      <c r="F244">
        <v>0</v>
      </c>
      <c r="G244">
        <v>0</v>
      </c>
      <c r="H244">
        <v>0</v>
      </c>
      <c r="I244">
        <v>0</v>
      </c>
      <c r="J244">
        <v>0</v>
      </c>
      <c r="K244" s="10" t="s">
        <v>59</v>
      </c>
    </row>
    <row r="245" spans="1:12" x14ac:dyDescent="0.25">
      <c r="A245">
        <v>2025</v>
      </c>
      <c r="B245" s="1">
        <v>45887</v>
      </c>
      <c r="C245" s="5">
        <f t="shared" si="3"/>
        <v>230</v>
      </c>
      <c r="D245">
        <v>5</v>
      </c>
      <c r="E245" t="s">
        <v>10</v>
      </c>
      <c r="F245">
        <v>1</v>
      </c>
      <c r="G245">
        <v>0</v>
      </c>
      <c r="H245">
        <v>0</v>
      </c>
      <c r="I245">
        <v>0</v>
      </c>
      <c r="J245">
        <v>0</v>
      </c>
      <c r="K245" s="10" t="s">
        <v>59</v>
      </c>
    </row>
    <row r="246" spans="1:12" x14ac:dyDescent="0.25">
      <c r="A246">
        <v>2025</v>
      </c>
      <c r="B246" s="1">
        <v>45887</v>
      </c>
      <c r="C246" s="5">
        <f t="shared" si="3"/>
        <v>230</v>
      </c>
      <c r="D246">
        <v>6</v>
      </c>
      <c r="E246" t="s">
        <v>10</v>
      </c>
      <c r="F246">
        <v>1</v>
      </c>
      <c r="G246">
        <v>4</v>
      </c>
      <c r="H246">
        <v>0</v>
      </c>
      <c r="I246">
        <v>0</v>
      </c>
      <c r="J246">
        <v>0</v>
      </c>
      <c r="K246" s="10" t="s">
        <v>59</v>
      </c>
    </row>
    <row r="247" spans="1:12" x14ac:dyDescent="0.25">
      <c r="A247">
        <v>2025</v>
      </c>
      <c r="B247" s="1">
        <v>45887</v>
      </c>
      <c r="C247" s="5">
        <f t="shared" si="3"/>
        <v>230</v>
      </c>
      <c r="D247">
        <v>12</v>
      </c>
      <c r="E247" t="s">
        <v>10</v>
      </c>
      <c r="F247">
        <v>0</v>
      </c>
      <c r="G247">
        <v>2</v>
      </c>
      <c r="H247">
        <v>0</v>
      </c>
      <c r="I247">
        <v>0</v>
      </c>
      <c r="J247">
        <v>0</v>
      </c>
      <c r="K247" s="10" t="s">
        <v>59</v>
      </c>
    </row>
    <row r="248" spans="1:12" x14ac:dyDescent="0.25">
      <c r="A248">
        <v>2025</v>
      </c>
      <c r="B248" s="1">
        <v>45887</v>
      </c>
      <c r="C248" s="5">
        <f t="shared" si="3"/>
        <v>230</v>
      </c>
      <c r="D248">
        <v>14</v>
      </c>
      <c r="E248" t="s">
        <v>10</v>
      </c>
      <c r="F248">
        <v>0</v>
      </c>
      <c r="G248">
        <v>16</v>
      </c>
      <c r="H248">
        <v>0</v>
      </c>
      <c r="I248">
        <v>0</v>
      </c>
      <c r="J248">
        <v>0</v>
      </c>
      <c r="K248" s="10" t="s">
        <v>59</v>
      </c>
    </row>
    <row r="249" spans="1:12" x14ac:dyDescent="0.25">
      <c r="A249">
        <v>2025</v>
      </c>
      <c r="B249" s="1">
        <v>45887</v>
      </c>
      <c r="C249" s="5">
        <f t="shared" si="3"/>
        <v>230</v>
      </c>
      <c r="D249">
        <v>1</v>
      </c>
      <c r="E249" t="s">
        <v>9</v>
      </c>
      <c r="F249">
        <v>0</v>
      </c>
      <c r="G249">
        <v>0</v>
      </c>
      <c r="H249">
        <v>0</v>
      </c>
      <c r="I249">
        <v>0</v>
      </c>
      <c r="J249">
        <v>0</v>
      </c>
      <c r="K249" s="10" t="s">
        <v>59</v>
      </c>
    </row>
    <row r="250" spans="1:12" x14ac:dyDescent="0.25">
      <c r="A250">
        <v>2025</v>
      </c>
      <c r="B250" s="1">
        <v>45887</v>
      </c>
      <c r="C250" s="5">
        <f t="shared" si="3"/>
        <v>230</v>
      </c>
      <c r="D250">
        <v>7</v>
      </c>
      <c r="E250" t="s">
        <v>9</v>
      </c>
      <c r="F250">
        <v>0</v>
      </c>
      <c r="G250">
        <v>0</v>
      </c>
      <c r="H250">
        <v>0</v>
      </c>
      <c r="I250">
        <v>0</v>
      </c>
      <c r="J250">
        <v>0</v>
      </c>
      <c r="K250" s="10" t="s">
        <v>59</v>
      </c>
    </row>
    <row r="251" spans="1:12" x14ac:dyDescent="0.25">
      <c r="A251">
        <v>2025</v>
      </c>
      <c r="B251" s="1">
        <v>45887</v>
      </c>
      <c r="C251" s="5">
        <f t="shared" si="3"/>
        <v>230</v>
      </c>
      <c r="D251">
        <v>13</v>
      </c>
      <c r="E251" t="s">
        <v>9</v>
      </c>
      <c r="F251">
        <v>0</v>
      </c>
      <c r="G251">
        <v>9</v>
      </c>
      <c r="H251">
        <v>0</v>
      </c>
      <c r="I251">
        <v>0</v>
      </c>
      <c r="J251">
        <v>0</v>
      </c>
      <c r="K251" s="10" t="s">
        <v>59</v>
      </c>
    </row>
    <row r="252" spans="1:12" x14ac:dyDescent="0.25">
      <c r="A252">
        <v>2025</v>
      </c>
      <c r="B252" s="1">
        <v>45887</v>
      </c>
      <c r="C252" s="5">
        <f t="shared" si="3"/>
        <v>230</v>
      </c>
      <c r="D252">
        <v>16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 s="10" t="s">
        <v>59</v>
      </c>
    </row>
    <row r="253" spans="1:12" x14ac:dyDescent="0.25">
      <c r="A253">
        <v>2025</v>
      </c>
      <c r="B253" s="1">
        <v>45887</v>
      </c>
      <c r="C253" s="5">
        <f t="shared" si="3"/>
        <v>230</v>
      </c>
      <c r="D253">
        <v>2</v>
      </c>
      <c r="E253" t="s">
        <v>7</v>
      </c>
      <c r="F253">
        <v>0</v>
      </c>
      <c r="G253">
        <v>0</v>
      </c>
      <c r="H253">
        <v>0</v>
      </c>
      <c r="I253">
        <v>0</v>
      </c>
      <c r="J253">
        <v>0</v>
      </c>
      <c r="K253" s="10" t="s">
        <v>59</v>
      </c>
    </row>
    <row r="254" spans="1:12" x14ac:dyDescent="0.25">
      <c r="A254">
        <v>2025</v>
      </c>
      <c r="B254" s="1">
        <v>45887</v>
      </c>
      <c r="C254" s="5">
        <f t="shared" si="3"/>
        <v>230</v>
      </c>
      <c r="D254">
        <v>4</v>
      </c>
      <c r="E254" t="s">
        <v>7</v>
      </c>
      <c r="F254">
        <v>0</v>
      </c>
      <c r="G254">
        <v>0</v>
      </c>
      <c r="H254">
        <v>0</v>
      </c>
      <c r="I254">
        <v>0</v>
      </c>
      <c r="J254">
        <v>0</v>
      </c>
      <c r="K254" s="10" t="s">
        <v>59</v>
      </c>
    </row>
    <row r="255" spans="1:12" x14ac:dyDescent="0.25">
      <c r="A255">
        <v>2025</v>
      </c>
      <c r="B255" s="1">
        <v>45887</v>
      </c>
      <c r="C255" s="5">
        <f t="shared" si="3"/>
        <v>230</v>
      </c>
      <c r="D255">
        <v>11</v>
      </c>
      <c r="E255" t="s">
        <v>7</v>
      </c>
      <c r="F255">
        <v>2</v>
      </c>
      <c r="G255">
        <v>3</v>
      </c>
      <c r="H255">
        <v>0</v>
      </c>
      <c r="I255">
        <v>0</v>
      </c>
      <c r="J255">
        <v>0</v>
      </c>
      <c r="K255" s="10" t="s">
        <v>59</v>
      </c>
    </row>
    <row r="256" spans="1:12" x14ac:dyDescent="0.25">
      <c r="A256">
        <v>2025</v>
      </c>
      <c r="B256" s="1">
        <v>45887</v>
      </c>
      <c r="C256" s="5">
        <f t="shared" si="3"/>
        <v>230</v>
      </c>
      <c r="D256">
        <v>17</v>
      </c>
      <c r="E256" t="s">
        <v>7</v>
      </c>
      <c r="F256">
        <v>6</v>
      </c>
      <c r="G256">
        <v>0</v>
      </c>
      <c r="H256">
        <v>0</v>
      </c>
      <c r="I256">
        <v>0</v>
      </c>
      <c r="J256">
        <v>0</v>
      </c>
      <c r="K256" s="10" t="s">
        <v>59</v>
      </c>
    </row>
    <row r="257" spans="1:11" x14ac:dyDescent="0.25">
      <c r="A257">
        <v>2025</v>
      </c>
      <c r="B257" s="1">
        <v>45887</v>
      </c>
      <c r="C257" s="5">
        <f t="shared" si="3"/>
        <v>230</v>
      </c>
      <c r="D257">
        <v>18</v>
      </c>
      <c r="E257" t="s">
        <v>7</v>
      </c>
      <c r="F257">
        <v>2</v>
      </c>
      <c r="G257">
        <v>0</v>
      </c>
      <c r="H257">
        <v>0</v>
      </c>
      <c r="I257">
        <v>0</v>
      </c>
      <c r="J257">
        <v>0</v>
      </c>
      <c r="K257" s="10" t="s">
        <v>59</v>
      </c>
    </row>
    <row r="258" spans="1:11" x14ac:dyDescent="0.25">
      <c r="A258">
        <v>2025</v>
      </c>
      <c r="B258" s="1">
        <v>45887</v>
      </c>
      <c r="C258" s="5">
        <f t="shared" ref="C258:C300" si="4">B258-DATE(YEAR(B258),1,0)</f>
        <v>230</v>
      </c>
      <c r="D258">
        <v>8</v>
      </c>
      <c r="E258" t="s">
        <v>8</v>
      </c>
      <c r="F258">
        <v>1</v>
      </c>
      <c r="G258">
        <v>3</v>
      </c>
      <c r="H258">
        <v>0</v>
      </c>
      <c r="I258">
        <v>0</v>
      </c>
      <c r="J258">
        <v>0</v>
      </c>
      <c r="K258" s="10" t="s">
        <v>59</v>
      </c>
    </row>
    <row r="259" spans="1:11" x14ac:dyDescent="0.25">
      <c r="A259">
        <v>2025</v>
      </c>
      <c r="B259" s="1">
        <v>45887</v>
      </c>
      <c r="C259" s="5">
        <f t="shared" si="4"/>
        <v>230</v>
      </c>
      <c r="D259">
        <v>9</v>
      </c>
      <c r="E259" t="s">
        <v>8</v>
      </c>
      <c r="F259">
        <v>2</v>
      </c>
      <c r="G259">
        <v>0</v>
      </c>
      <c r="H259">
        <v>0</v>
      </c>
      <c r="I259">
        <v>0</v>
      </c>
      <c r="J259">
        <v>0</v>
      </c>
      <c r="K259" s="10" t="s">
        <v>59</v>
      </c>
    </row>
    <row r="260" spans="1:11" x14ac:dyDescent="0.25">
      <c r="A260">
        <v>2025</v>
      </c>
      <c r="B260" s="1">
        <v>45887</v>
      </c>
      <c r="C260" s="5">
        <f t="shared" si="4"/>
        <v>230</v>
      </c>
      <c r="D260">
        <v>10</v>
      </c>
      <c r="E260" t="s">
        <v>8</v>
      </c>
      <c r="F260">
        <v>0</v>
      </c>
      <c r="G260">
        <v>0</v>
      </c>
      <c r="H260">
        <v>0</v>
      </c>
      <c r="I260">
        <v>0</v>
      </c>
      <c r="J260">
        <v>0</v>
      </c>
      <c r="K260" s="10" t="s">
        <v>59</v>
      </c>
    </row>
    <row r="261" spans="1:11" x14ac:dyDescent="0.25">
      <c r="A261">
        <v>2025</v>
      </c>
      <c r="B261" s="1">
        <v>45887</v>
      </c>
      <c r="C261" s="5">
        <f t="shared" si="4"/>
        <v>230</v>
      </c>
      <c r="D261">
        <v>15</v>
      </c>
      <c r="E261" t="s">
        <v>8</v>
      </c>
      <c r="F261">
        <v>0</v>
      </c>
      <c r="G261">
        <v>3</v>
      </c>
      <c r="H261">
        <v>0</v>
      </c>
      <c r="I261">
        <v>0</v>
      </c>
      <c r="J261">
        <v>0</v>
      </c>
      <c r="K261" s="10" t="s">
        <v>59</v>
      </c>
    </row>
    <row r="262" spans="1:11" x14ac:dyDescent="0.25">
      <c r="A262">
        <v>2025</v>
      </c>
      <c r="B262" s="1">
        <v>45887</v>
      </c>
      <c r="C262" s="5">
        <f t="shared" si="4"/>
        <v>230</v>
      </c>
      <c r="D262">
        <v>20</v>
      </c>
      <c r="E262" t="s">
        <v>8</v>
      </c>
      <c r="F262">
        <v>0</v>
      </c>
      <c r="G262">
        <v>0</v>
      </c>
      <c r="H262">
        <v>0</v>
      </c>
      <c r="I262">
        <v>0</v>
      </c>
      <c r="J262">
        <v>0</v>
      </c>
      <c r="K262" s="10" t="s">
        <v>59</v>
      </c>
    </row>
    <row r="263" spans="1:11" x14ac:dyDescent="0.25">
      <c r="A263">
        <v>2025</v>
      </c>
      <c r="B263" s="1">
        <v>45888</v>
      </c>
      <c r="C263" s="5">
        <f t="shared" si="4"/>
        <v>231</v>
      </c>
      <c r="D263">
        <v>1</v>
      </c>
      <c r="E263" t="s">
        <v>10</v>
      </c>
      <c r="F263">
        <v>0</v>
      </c>
      <c r="G263">
        <v>1</v>
      </c>
      <c r="H263">
        <v>0</v>
      </c>
      <c r="I263">
        <v>0</v>
      </c>
      <c r="J263">
        <v>0</v>
      </c>
      <c r="K263" s="10" t="s">
        <v>59</v>
      </c>
    </row>
    <row r="264" spans="1:11" x14ac:dyDescent="0.25">
      <c r="A264">
        <v>2025</v>
      </c>
      <c r="B264" s="1">
        <v>45888</v>
      </c>
      <c r="C264" s="5">
        <f t="shared" si="4"/>
        <v>231</v>
      </c>
      <c r="D264">
        <v>4</v>
      </c>
      <c r="E264" t="s">
        <v>10</v>
      </c>
      <c r="F264">
        <v>2</v>
      </c>
      <c r="G264">
        <v>1</v>
      </c>
      <c r="H264">
        <v>0</v>
      </c>
      <c r="I264">
        <v>0</v>
      </c>
      <c r="J264">
        <v>0</v>
      </c>
      <c r="K264" s="10" t="s">
        <v>59</v>
      </c>
    </row>
    <row r="265" spans="1:11" x14ac:dyDescent="0.25">
      <c r="A265">
        <v>2025</v>
      </c>
      <c r="B265" s="1">
        <v>45888</v>
      </c>
      <c r="C265" s="5">
        <f t="shared" si="4"/>
        <v>231</v>
      </c>
      <c r="D265">
        <v>15</v>
      </c>
      <c r="E265" t="s">
        <v>10</v>
      </c>
      <c r="F265">
        <v>1</v>
      </c>
      <c r="G265">
        <v>0</v>
      </c>
      <c r="H265">
        <v>0</v>
      </c>
      <c r="I265">
        <v>0</v>
      </c>
      <c r="J265">
        <v>0</v>
      </c>
      <c r="K265" s="10" t="s">
        <v>59</v>
      </c>
    </row>
    <row r="266" spans="1:11" x14ac:dyDescent="0.25">
      <c r="A266">
        <v>2025</v>
      </c>
      <c r="B266" s="1">
        <v>45888</v>
      </c>
      <c r="C266" s="5">
        <f t="shared" si="4"/>
        <v>231</v>
      </c>
      <c r="D266">
        <v>19</v>
      </c>
      <c r="E266" t="s">
        <v>10</v>
      </c>
      <c r="F266">
        <v>0</v>
      </c>
      <c r="G266">
        <v>0</v>
      </c>
      <c r="H266">
        <v>0</v>
      </c>
      <c r="I266">
        <v>0</v>
      </c>
      <c r="J266">
        <v>0</v>
      </c>
      <c r="K266" s="10" t="s">
        <v>59</v>
      </c>
    </row>
    <row r="267" spans="1:11" x14ac:dyDescent="0.25">
      <c r="A267">
        <v>2025</v>
      </c>
      <c r="B267" s="1">
        <v>45888</v>
      </c>
      <c r="C267" s="5">
        <f t="shared" si="4"/>
        <v>231</v>
      </c>
      <c r="D267">
        <v>20</v>
      </c>
      <c r="E267" t="s">
        <v>10</v>
      </c>
      <c r="F267">
        <v>0</v>
      </c>
      <c r="G267">
        <v>0</v>
      </c>
      <c r="H267">
        <v>0</v>
      </c>
      <c r="I267">
        <v>0</v>
      </c>
      <c r="J267">
        <v>0</v>
      </c>
      <c r="K267" s="10" t="s">
        <v>59</v>
      </c>
    </row>
    <row r="268" spans="1:11" x14ac:dyDescent="0.25">
      <c r="A268">
        <v>2025</v>
      </c>
      <c r="B268" s="1">
        <v>45888</v>
      </c>
      <c r="C268" s="5">
        <f t="shared" si="4"/>
        <v>231</v>
      </c>
      <c r="D268">
        <v>7</v>
      </c>
      <c r="E268" t="s">
        <v>9</v>
      </c>
      <c r="F268">
        <v>1</v>
      </c>
      <c r="G268">
        <v>1</v>
      </c>
      <c r="H268">
        <v>0</v>
      </c>
      <c r="I268">
        <v>0</v>
      </c>
      <c r="J268">
        <v>0</v>
      </c>
      <c r="K268" s="10" t="s">
        <v>59</v>
      </c>
    </row>
    <row r="269" spans="1:11" x14ac:dyDescent="0.25">
      <c r="A269">
        <v>2025</v>
      </c>
      <c r="B269" s="1">
        <v>45888</v>
      </c>
      <c r="C269" s="5">
        <f t="shared" si="4"/>
        <v>231</v>
      </c>
      <c r="D269">
        <v>9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 s="10" t="s">
        <v>59</v>
      </c>
    </row>
    <row r="270" spans="1:11" x14ac:dyDescent="0.25">
      <c r="A270">
        <v>2025</v>
      </c>
      <c r="B270" s="1">
        <v>45888</v>
      </c>
      <c r="C270" s="5">
        <f t="shared" si="4"/>
        <v>231</v>
      </c>
      <c r="D270">
        <v>10</v>
      </c>
      <c r="E270" t="s">
        <v>9</v>
      </c>
      <c r="F270">
        <v>0</v>
      </c>
      <c r="G270">
        <v>1</v>
      </c>
      <c r="H270">
        <v>0</v>
      </c>
      <c r="I270">
        <v>0</v>
      </c>
      <c r="J270">
        <v>0</v>
      </c>
      <c r="K270" s="10" t="s">
        <v>59</v>
      </c>
    </row>
    <row r="271" spans="1:11" x14ac:dyDescent="0.25">
      <c r="A271">
        <v>2025</v>
      </c>
      <c r="B271" s="1">
        <v>45888</v>
      </c>
      <c r="C271" s="5">
        <f t="shared" si="4"/>
        <v>231</v>
      </c>
      <c r="D271">
        <v>16</v>
      </c>
      <c r="E271" t="s">
        <v>9</v>
      </c>
      <c r="F271">
        <v>2</v>
      </c>
      <c r="G271">
        <v>1</v>
      </c>
      <c r="H271">
        <v>0</v>
      </c>
      <c r="I271">
        <v>0</v>
      </c>
      <c r="J271">
        <v>0</v>
      </c>
      <c r="K271" s="10" t="s">
        <v>59</v>
      </c>
    </row>
    <row r="272" spans="1:11" x14ac:dyDescent="0.25">
      <c r="A272">
        <v>2025</v>
      </c>
      <c r="B272" s="1">
        <v>45888</v>
      </c>
      <c r="C272" s="5">
        <f t="shared" si="4"/>
        <v>231</v>
      </c>
      <c r="D272">
        <v>21</v>
      </c>
      <c r="E272" t="s">
        <v>9</v>
      </c>
      <c r="F272">
        <v>0</v>
      </c>
      <c r="G272">
        <v>0</v>
      </c>
      <c r="H272">
        <v>0</v>
      </c>
      <c r="I272">
        <v>0</v>
      </c>
      <c r="J272">
        <v>0</v>
      </c>
      <c r="K272" s="10" t="s">
        <v>59</v>
      </c>
    </row>
    <row r="273" spans="1:11" x14ac:dyDescent="0.25">
      <c r="A273">
        <v>2025</v>
      </c>
      <c r="B273" s="1">
        <v>45888</v>
      </c>
      <c r="C273" s="5">
        <f t="shared" si="4"/>
        <v>231</v>
      </c>
      <c r="D273">
        <v>2</v>
      </c>
      <c r="E273" t="s">
        <v>7</v>
      </c>
      <c r="F273">
        <v>28</v>
      </c>
      <c r="G273">
        <v>0</v>
      </c>
      <c r="H273">
        <v>0</v>
      </c>
      <c r="I273">
        <v>0</v>
      </c>
      <c r="J273">
        <v>0</v>
      </c>
      <c r="K273" s="10" t="s">
        <v>59</v>
      </c>
    </row>
    <row r="274" spans="1:11" x14ac:dyDescent="0.25">
      <c r="A274">
        <v>2025</v>
      </c>
      <c r="B274" s="1">
        <v>45888</v>
      </c>
      <c r="C274" s="5">
        <f t="shared" si="4"/>
        <v>231</v>
      </c>
      <c r="D274">
        <v>5</v>
      </c>
      <c r="E274" t="s">
        <v>7</v>
      </c>
      <c r="F274">
        <v>30</v>
      </c>
      <c r="G274">
        <v>4</v>
      </c>
      <c r="H274">
        <v>0</v>
      </c>
      <c r="I274">
        <v>0</v>
      </c>
      <c r="J274">
        <v>0</v>
      </c>
      <c r="K274" s="10" t="s">
        <v>59</v>
      </c>
    </row>
    <row r="275" spans="1:11" x14ac:dyDescent="0.25">
      <c r="A275">
        <v>2025</v>
      </c>
      <c r="B275" s="1">
        <v>45888</v>
      </c>
      <c r="C275" s="5">
        <f t="shared" si="4"/>
        <v>231</v>
      </c>
      <c r="D275">
        <v>6</v>
      </c>
      <c r="E275" t="s">
        <v>7</v>
      </c>
      <c r="F275">
        <v>48</v>
      </c>
      <c r="G275">
        <v>0</v>
      </c>
      <c r="H275">
        <v>0</v>
      </c>
      <c r="I275">
        <v>0</v>
      </c>
      <c r="J275">
        <v>0</v>
      </c>
      <c r="K275" s="10" t="s">
        <v>59</v>
      </c>
    </row>
    <row r="276" spans="1:11" x14ac:dyDescent="0.25">
      <c r="A276">
        <v>2025</v>
      </c>
      <c r="B276" s="1">
        <v>45888</v>
      </c>
      <c r="C276" s="5">
        <f t="shared" si="4"/>
        <v>231</v>
      </c>
      <c r="D276">
        <v>8</v>
      </c>
      <c r="E276" t="s">
        <v>7</v>
      </c>
      <c r="F276">
        <v>10</v>
      </c>
      <c r="G276">
        <v>0</v>
      </c>
      <c r="H276">
        <v>0</v>
      </c>
      <c r="I276">
        <v>0</v>
      </c>
      <c r="J276">
        <v>0</v>
      </c>
      <c r="K276" s="10" t="s">
        <v>59</v>
      </c>
    </row>
    <row r="277" spans="1:11" x14ac:dyDescent="0.25">
      <c r="A277">
        <v>2025</v>
      </c>
      <c r="B277" s="1">
        <v>45888</v>
      </c>
      <c r="C277" s="5">
        <f t="shared" si="4"/>
        <v>231</v>
      </c>
      <c r="D277">
        <v>11</v>
      </c>
      <c r="E277" t="s">
        <v>7</v>
      </c>
      <c r="F277">
        <v>5</v>
      </c>
      <c r="G277">
        <v>0</v>
      </c>
      <c r="H277">
        <v>0</v>
      </c>
      <c r="I277">
        <v>0</v>
      </c>
      <c r="J277">
        <v>0</v>
      </c>
      <c r="K277" s="10" t="s">
        <v>59</v>
      </c>
    </row>
    <row r="278" spans="1:11" x14ac:dyDescent="0.25">
      <c r="A278">
        <v>2025</v>
      </c>
      <c r="B278" s="1">
        <v>45888</v>
      </c>
      <c r="C278" s="5">
        <f t="shared" si="4"/>
        <v>231</v>
      </c>
      <c r="D278">
        <v>3</v>
      </c>
      <c r="E278" t="s">
        <v>8</v>
      </c>
      <c r="F278">
        <v>0</v>
      </c>
      <c r="G278">
        <v>1</v>
      </c>
      <c r="H278">
        <v>0</v>
      </c>
      <c r="I278">
        <v>0</v>
      </c>
      <c r="J278">
        <v>0</v>
      </c>
      <c r="K278" s="10" t="s">
        <v>59</v>
      </c>
    </row>
    <row r="279" spans="1:11" x14ac:dyDescent="0.25">
      <c r="A279">
        <v>2025</v>
      </c>
      <c r="B279" s="1">
        <v>45888</v>
      </c>
      <c r="C279" s="5">
        <f t="shared" si="4"/>
        <v>231</v>
      </c>
      <c r="D279">
        <v>12</v>
      </c>
      <c r="E279" t="s">
        <v>8</v>
      </c>
      <c r="F279">
        <v>7</v>
      </c>
      <c r="G279">
        <v>4</v>
      </c>
      <c r="H279">
        <v>0</v>
      </c>
      <c r="I279">
        <v>0</v>
      </c>
      <c r="J279">
        <v>0</v>
      </c>
      <c r="K279" s="10" t="s">
        <v>59</v>
      </c>
    </row>
    <row r="280" spans="1:11" x14ac:dyDescent="0.25">
      <c r="A280">
        <v>2025</v>
      </c>
      <c r="B280" s="1">
        <v>45888</v>
      </c>
      <c r="C280" s="5">
        <f t="shared" si="4"/>
        <v>231</v>
      </c>
      <c r="D280">
        <v>14</v>
      </c>
      <c r="E280" t="s">
        <v>8</v>
      </c>
      <c r="F280">
        <v>0</v>
      </c>
      <c r="G280">
        <v>2</v>
      </c>
      <c r="H280">
        <v>0</v>
      </c>
      <c r="I280">
        <v>0</v>
      </c>
      <c r="J280">
        <v>0</v>
      </c>
      <c r="K280" s="10" t="s">
        <v>59</v>
      </c>
    </row>
    <row r="281" spans="1:11" x14ac:dyDescent="0.25">
      <c r="A281">
        <v>2025</v>
      </c>
      <c r="B281" s="1">
        <v>45888</v>
      </c>
      <c r="C281" s="5">
        <f t="shared" si="4"/>
        <v>231</v>
      </c>
      <c r="D281">
        <v>17</v>
      </c>
      <c r="E281" t="s">
        <v>8</v>
      </c>
      <c r="F281">
        <v>2</v>
      </c>
      <c r="G281">
        <v>1</v>
      </c>
      <c r="H281">
        <v>0</v>
      </c>
      <c r="I281">
        <v>0</v>
      </c>
      <c r="J281">
        <v>0</v>
      </c>
      <c r="K281" s="10" t="s">
        <v>59</v>
      </c>
    </row>
    <row r="282" spans="1:11" x14ac:dyDescent="0.25">
      <c r="A282">
        <v>2025</v>
      </c>
      <c r="B282" s="1">
        <v>45888</v>
      </c>
      <c r="C282" s="5">
        <f t="shared" si="4"/>
        <v>231</v>
      </c>
      <c r="D282">
        <v>18</v>
      </c>
      <c r="E282" t="s">
        <v>8</v>
      </c>
      <c r="F282">
        <v>0</v>
      </c>
      <c r="G282">
        <v>0</v>
      </c>
      <c r="H282">
        <v>0</v>
      </c>
      <c r="I282">
        <v>0</v>
      </c>
      <c r="J282">
        <v>0</v>
      </c>
      <c r="K282" s="10" t="s">
        <v>59</v>
      </c>
    </row>
    <row r="283" spans="1:11" x14ac:dyDescent="0.25">
      <c r="A283">
        <v>2025</v>
      </c>
      <c r="B283" s="1">
        <v>45889</v>
      </c>
      <c r="C283" s="5">
        <f t="shared" si="4"/>
        <v>232</v>
      </c>
      <c r="D283">
        <v>1</v>
      </c>
      <c r="E283" t="s">
        <v>10</v>
      </c>
      <c r="F283">
        <v>2</v>
      </c>
      <c r="G283">
        <v>2</v>
      </c>
      <c r="H283">
        <v>0</v>
      </c>
      <c r="I283">
        <v>0</v>
      </c>
      <c r="J283">
        <v>0</v>
      </c>
      <c r="K283" s="10" t="s">
        <v>59</v>
      </c>
    </row>
    <row r="284" spans="1:11" x14ac:dyDescent="0.25">
      <c r="A284">
        <v>2025</v>
      </c>
      <c r="B284" s="1">
        <v>45889</v>
      </c>
      <c r="C284" s="5">
        <f t="shared" si="4"/>
        <v>232</v>
      </c>
      <c r="D284">
        <v>6</v>
      </c>
      <c r="E284" t="s">
        <v>10</v>
      </c>
      <c r="F284">
        <v>0</v>
      </c>
      <c r="G284">
        <v>1</v>
      </c>
      <c r="H284">
        <v>0</v>
      </c>
      <c r="I284">
        <v>0</v>
      </c>
      <c r="J284">
        <v>0</v>
      </c>
      <c r="K284" s="10" t="s">
        <v>59</v>
      </c>
    </row>
    <row r="285" spans="1:11" x14ac:dyDescent="0.25">
      <c r="A285">
        <v>2025</v>
      </c>
      <c r="B285" s="1">
        <v>45889</v>
      </c>
      <c r="C285" s="5">
        <f t="shared" si="4"/>
        <v>232</v>
      </c>
      <c r="D285">
        <v>9</v>
      </c>
      <c r="E285" t="s">
        <v>10</v>
      </c>
      <c r="F285">
        <v>1</v>
      </c>
      <c r="G285">
        <v>0</v>
      </c>
      <c r="H285">
        <v>0</v>
      </c>
      <c r="I285">
        <v>0</v>
      </c>
      <c r="J285">
        <v>0</v>
      </c>
      <c r="K285" s="10" t="s">
        <v>59</v>
      </c>
    </row>
    <row r="286" spans="1:11" x14ac:dyDescent="0.25">
      <c r="A286">
        <v>2025</v>
      </c>
      <c r="B286" s="1">
        <v>45889</v>
      </c>
      <c r="C286" s="5">
        <f t="shared" si="4"/>
        <v>232</v>
      </c>
      <c r="D286">
        <v>13</v>
      </c>
      <c r="E286" t="s">
        <v>10</v>
      </c>
      <c r="F286">
        <v>0</v>
      </c>
      <c r="G286">
        <v>1</v>
      </c>
      <c r="H286">
        <v>0</v>
      </c>
      <c r="I286">
        <v>0</v>
      </c>
      <c r="J286">
        <v>0</v>
      </c>
      <c r="K286" s="10" t="s">
        <v>59</v>
      </c>
    </row>
    <row r="287" spans="1:11" x14ac:dyDescent="0.25">
      <c r="A287">
        <v>2025</v>
      </c>
      <c r="B287" s="1">
        <v>45889</v>
      </c>
      <c r="C287" s="5">
        <f t="shared" si="4"/>
        <v>232</v>
      </c>
      <c r="D287">
        <v>19</v>
      </c>
      <c r="E287" t="s">
        <v>10</v>
      </c>
      <c r="F287">
        <v>0</v>
      </c>
      <c r="G287">
        <v>0</v>
      </c>
      <c r="H287">
        <v>0</v>
      </c>
      <c r="I287">
        <v>0</v>
      </c>
      <c r="J287">
        <v>0</v>
      </c>
      <c r="K287" s="10" t="s">
        <v>59</v>
      </c>
    </row>
    <row r="288" spans="1:11" x14ac:dyDescent="0.25">
      <c r="A288">
        <v>2025</v>
      </c>
      <c r="B288" s="1">
        <v>45889</v>
      </c>
      <c r="C288" s="5">
        <f t="shared" si="4"/>
        <v>232</v>
      </c>
      <c r="D288">
        <v>2</v>
      </c>
      <c r="E288" t="s">
        <v>9</v>
      </c>
      <c r="F288">
        <v>0</v>
      </c>
      <c r="G288">
        <v>0</v>
      </c>
      <c r="H288">
        <v>0</v>
      </c>
      <c r="I288">
        <v>0</v>
      </c>
      <c r="J288">
        <v>0</v>
      </c>
      <c r="K288" s="10" t="s">
        <v>59</v>
      </c>
    </row>
    <row r="289" spans="1:11" x14ac:dyDescent="0.25">
      <c r="A289">
        <v>2025</v>
      </c>
      <c r="B289" s="1">
        <v>45889</v>
      </c>
      <c r="C289" s="5">
        <f t="shared" si="4"/>
        <v>232</v>
      </c>
      <c r="D289">
        <v>5</v>
      </c>
      <c r="E289" t="s">
        <v>9</v>
      </c>
      <c r="F289">
        <v>1</v>
      </c>
      <c r="G289">
        <v>0</v>
      </c>
      <c r="H289">
        <v>0</v>
      </c>
      <c r="I289">
        <v>0</v>
      </c>
      <c r="J289">
        <v>0</v>
      </c>
      <c r="K289" s="10" t="s">
        <v>59</v>
      </c>
    </row>
    <row r="290" spans="1:11" x14ac:dyDescent="0.25">
      <c r="A290">
        <v>2025</v>
      </c>
      <c r="B290" s="1">
        <v>45889</v>
      </c>
      <c r="C290" s="5">
        <f t="shared" si="4"/>
        <v>232</v>
      </c>
      <c r="D290">
        <v>7</v>
      </c>
      <c r="E290" t="s">
        <v>9</v>
      </c>
      <c r="F290">
        <v>1</v>
      </c>
      <c r="G290">
        <v>0</v>
      </c>
      <c r="H290">
        <v>0</v>
      </c>
      <c r="I290">
        <v>0</v>
      </c>
      <c r="J290">
        <v>0</v>
      </c>
      <c r="K290" s="10" t="s">
        <v>59</v>
      </c>
    </row>
    <row r="291" spans="1:11" x14ac:dyDescent="0.25">
      <c r="A291">
        <v>2025</v>
      </c>
      <c r="B291" s="1">
        <v>45889</v>
      </c>
      <c r="C291" s="5">
        <f t="shared" si="4"/>
        <v>232</v>
      </c>
      <c r="D291">
        <v>10</v>
      </c>
      <c r="E291" t="s">
        <v>9</v>
      </c>
      <c r="F291">
        <v>3</v>
      </c>
      <c r="G291">
        <v>0</v>
      </c>
      <c r="H291">
        <v>0</v>
      </c>
      <c r="I291">
        <v>0</v>
      </c>
      <c r="J291">
        <v>0</v>
      </c>
      <c r="K291" s="10" t="s">
        <v>59</v>
      </c>
    </row>
    <row r="292" spans="1:11" x14ac:dyDescent="0.25">
      <c r="A292">
        <v>2025</v>
      </c>
      <c r="B292" s="1">
        <v>45889</v>
      </c>
      <c r="C292" s="5">
        <f t="shared" si="4"/>
        <v>232</v>
      </c>
      <c r="D292">
        <v>12</v>
      </c>
      <c r="E292" t="s">
        <v>9</v>
      </c>
      <c r="F292">
        <v>0</v>
      </c>
      <c r="G292">
        <v>0</v>
      </c>
      <c r="H292">
        <v>0</v>
      </c>
      <c r="I292">
        <v>0</v>
      </c>
      <c r="J292">
        <v>0</v>
      </c>
      <c r="K292" s="10" t="s">
        <v>59</v>
      </c>
    </row>
    <row r="293" spans="1:11" x14ac:dyDescent="0.25">
      <c r="A293">
        <v>2025</v>
      </c>
      <c r="B293" s="1">
        <v>45889</v>
      </c>
      <c r="C293" s="5">
        <f t="shared" si="4"/>
        <v>232</v>
      </c>
      <c r="D293">
        <v>3</v>
      </c>
      <c r="E293" t="s">
        <v>7</v>
      </c>
      <c r="F293">
        <v>6</v>
      </c>
      <c r="G293">
        <v>1</v>
      </c>
      <c r="H293">
        <v>0</v>
      </c>
      <c r="I293">
        <v>0</v>
      </c>
      <c r="J293">
        <v>0</v>
      </c>
      <c r="K293" s="10" t="s">
        <v>59</v>
      </c>
    </row>
    <row r="294" spans="1:11" x14ac:dyDescent="0.25">
      <c r="A294">
        <v>2025</v>
      </c>
      <c r="B294" s="1">
        <v>45889</v>
      </c>
      <c r="C294" s="5">
        <f t="shared" si="4"/>
        <v>232</v>
      </c>
      <c r="D294">
        <v>8</v>
      </c>
      <c r="E294" t="s">
        <v>7</v>
      </c>
      <c r="F294">
        <v>2</v>
      </c>
      <c r="G294">
        <v>2</v>
      </c>
      <c r="H294">
        <v>0</v>
      </c>
      <c r="I294">
        <v>0</v>
      </c>
      <c r="J294">
        <v>0</v>
      </c>
      <c r="K294" s="10" t="s">
        <v>59</v>
      </c>
    </row>
    <row r="295" spans="1:11" x14ac:dyDescent="0.25">
      <c r="A295">
        <v>2025</v>
      </c>
      <c r="B295" s="1">
        <v>45889</v>
      </c>
      <c r="C295" s="5">
        <f t="shared" si="4"/>
        <v>232</v>
      </c>
      <c r="D295">
        <v>21</v>
      </c>
      <c r="E295" t="s">
        <v>7</v>
      </c>
      <c r="F295">
        <v>9</v>
      </c>
      <c r="G295">
        <v>2</v>
      </c>
      <c r="H295">
        <v>0</v>
      </c>
      <c r="I295">
        <v>0</v>
      </c>
      <c r="J295">
        <v>0</v>
      </c>
      <c r="K295" s="10" t="s">
        <v>59</v>
      </c>
    </row>
    <row r="296" spans="1:11" x14ac:dyDescent="0.25">
      <c r="A296">
        <v>2025</v>
      </c>
      <c r="B296" s="1">
        <v>45889</v>
      </c>
      <c r="C296" s="5">
        <f t="shared" si="4"/>
        <v>232</v>
      </c>
      <c r="D296">
        <v>4</v>
      </c>
      <c r="E296" t="s">
        <v>8</v>
      </c>
      <c r="F296">
        <v>1</v>
      </c>
      <c r="G296">
        <v>1</v>
      </c>
      <c r="H296">
        <v>0</v>
      </c>
      <c r="I296">
        <v>0</v>
      </c>
      <c r="J296">
        <v>0</v>
      </c>
      <c r="K296" s="10" t="s">
        <v>59</v>
      </c>
    </row>
    <row r="297" spans="1:11" x14ac:dyDescent="0.25">
      <c r="A297">
        <v>2025</v>
      </c>
      <c r="B297" s="1">
        <v>45889</v>
      </c>
      <c r="C297" s="5">
        <f t="shared" si="4"/>
        <v>232</v>
      </c>
      <c r="D297">
        <v>14</v>
      </c>
      <c r="E297" t="s">
        <v>8</v>
      </c>
      <c r="F297">
        <v>0</v>
      </c>
      <c r="G297">
        <v>2</v>
      </c>
      <c r="H297">
        <v>0</v>
      </c>
      <c r="I297">
        <v>0</v>
      </c>
      <c r="J297">
        <v>0</v>
      </c>
      <c r="K297" s="10" t="s">
        <v>59</v>
      </c>
    </row>
    <row r="298" spans="1:11" x14ac:dyDescent="0.25">
      <c r="A298">
        <v>2025</v>
      </c>
      <c r="B298" s="1">
        <v>45889</v>
      </c>
      <c r="C298" s="5">
        <f t="shared" si="4"/>
        <v>232</v>
      </c>
      <c r="D298">
        <v>15</v>
      </c>
      <c r="E298" t="s">
        <v>8</v>
      </c>
      <c r="F298">
        <v>0</v>
      </c>
      <c r="G298">
        <v>0</v>
      </c>
      <c r="H298">
        <v>0</v>
      </c>
      <c r="I298">
        <v>0</v>
      </c>
      <c r="J298">
        <v>0</v>
      </c>
      <c r="K298" s="10" t="s">
        <v>59</v>
      </c>
    </row>
    <row r="299" spans="1:11" x14ac:dyDescent="0.25">
      <c r="A299">
        <v>2025</v>
      </c>
      <c r="B299" s="1">
        <v>45889</v>
      </c>
      <c r="C299" s="5">
        <f t="shared" si="4"/>
        <v>232</v>
      </c>
      <c r="D299">
        <v>18</v>
      </c>
      <c r="E299" t="s">
        <v>8</v>
      </c>
      <c r="F299">
        <v>0</v>
      </c>
      <c r="G299">
        <v>0</v>
      </c>
      <c r="H299">
        <v>0</v>
      </c>
      <c r="I299">
        <v>0</v>
      </c>
      <c r="J299">
        <v>0</v>
      </c>
      <c r="K299" s="10" t="s">
        <v>59</v>
      </c>
    </row>
    <row r="300" spans="1:11" x14ac:dyDescent="0.25">
      <c r="A300">
        <v>2025</v>
      </c>
      <c r="B300" s="1">
        <v>45889</v>
      </c>
      <c r="C300" s="5">
        <f t="shared" si="4"/>
        <v>232</v>
      </c>
      <c r="D300">
        <v>20</v>
      </c>
      <c r="E300" t="s">
        <v>8</v>
      </c>
      <c r="F300">
        <v>0</v>
      </c>
      <c r="G300">
        <v>0</v>
      </c>
      <c r="H300">
        <v>0</v>
      </c>
      <c r="I300">
        <v>0</v>
      </c>
      <c r="J300">
        <v>0</v>
      </c>
      <c r="K300" s="10" t="s">
        <v>59</v>
      </c>
    </row>
  </sheetData>
  <sortState xmlns:xlrd2="http://schemas.microsoft.com/office/spreadsheetml/2017/richdata2" ref="A2:L300">
    <sortCondition ref="B2:B300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E76B-5A21-4CB4-9200-FB765050D393}">
  <dimension ref="A1:A4"/>
  <sheetViews>
    <sheetView workbookViewId="0">
      <selection activeCell="H25" sqref="H25"/>
    </sheetView>
  </sheetViews>
  <sheetFormatPr defaultRowHeight="15.75" x14ac:dyDescent="0.25"/>
  <sheetData>
    <row r="1" spans="1:1" x14ac:dyDescent="0.25">
      <c r="A1" t="s">
        <v>57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summary</vt:lpstr>
      <vt:lpstr>Sheet1</vt:lpstr>
      <vt:lpstr>PT site x year x treatment</vt:lpstr>
      <vt:lpstr>Results - simplified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Curry Cunningham</dc:creator>
  <cp:lastModifiedBy>tquinn</cp:lastModifiedBy>
  <dcterms:created xsi:type="dcterms:W3CDTF">2020-08-05T03:29:10Z</dcterms:created>
  <dcterms:modified xsi:type="dcterms:W3CDTF">2026-07-06T14:11:28Z</dcterms:modified>
</cp:coreProperties>
</file>